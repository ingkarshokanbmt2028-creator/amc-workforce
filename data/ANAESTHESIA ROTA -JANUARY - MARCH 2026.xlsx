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6" sheetId="1" r:id="rId4"/>
    <sheet state="visible" name="FEBRUARY 2026" sheetId="2" r:id="rId5"/>
    <sheet state="visible" name="MARCH 2026" sheetId="3" r:id="rId6"/>
  </sheets>
  <definedNames/>
  <calcPr/>
  <extLst>
    <ext uri="GoogleSheetsCustomDataVersion2">
      <go:sheetsCustomData xmlns:go="http://customooxmlschemas.google.com/" r:id="rId7" roundtripDataChecksum="DV5/HPl6Z4WDeQd38UPLlGbQHn3VaaJEMg1z6NDCHYc="/>
    </ext>
  </extLst>
</workbook>
</file>

<file path=xl/sharedStrings.xml><?xml version="1.0" encoding="utf-8"?>
<sst xmlns="http://schemas.openxmlformats.org/spreadsheetml/2006/main" count="741" uniqueCount="34">
  <si>
    <t>NAME</t>
  </si>
  <si>
    <t>THU</t>
  </si>
  <si>
    <t>FRI</t>
  </si>
  <si>
    <t>SAT</t>
  </si>
  <si>
    <t>SUN</t>
  </si>
  <si>
    <t>SHIFTS</t>
  </si>
  <si>
    <t>HRS</t>
  </si>
  <si>
    <t>MON</t>
  </si>
  <si>
    <t>TUE</t>
  </si>
  <si>
    <t>WED</t>
  </si>
  <si>
    <t>TOTAL SHIFTS</t>
  </si>
  <si>
    <t>TOTAL HOURS</t>
  </si>
  <si>
    <t>O/T</t>
  </si>
  <si>
    <t>CRA</t>
  </si>
  <si>
    <t>M</t>
  </si>
  <si>
    <t>A</t>
  </si>
  <si>
    <t>N</t>
  </si>
  <si>
    <t>D</t>
  </si>
  <si>
    <t>L</t>
  </si>
  <si>
    <t>T</t>
  </si>
  <si>
    <t>GODWIN AGBEWU</t>
  </si>
  <si>
    <t>O</t>
  </si>
  <si>
    <t>JOSEPHINE YEBOAH</t>
  </si>
  <si>
    <t>AL</t>
  </si>
  <si>
    <t>LOCUM</t>
  </si>
  <si>
    <t>JOCHEBED NAANA ESHUN</t>
  </si>
  <si>
    <t>EDEM AKPA (LOCUM)</t>
  </si>
  <si>
    <t>WILLIAM TWUMASI (LOCUM)</t>
  </si>
  <si>
    <t>ANTWI (LOCUM)</t>
  </si>
  <si>
    <t>TOTAL 
LOCUM 
HOURS</t>
  </si>
  <si>
    <t>12 HOUR SHIFT FOR ANAESTHESIA TEAM</t>
  </si>
  <si>
    <t>L - DAY SHIFT</t>
  </si>
  <si>
    <t>N - NIGHT SHIFT</t>
  </si>
  <si>
    <t>ASANTE (LOCUM)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</si>
</sst>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9.0"/>
      <color theme="1"/>
      <name val="Arial"/>
    </font>
    <font/>
    <font>
      <b/>
      <sz val="9.0"/>
      <color theme="0"/>
      <name val="Arial"/>
    </font>
    <font>
      <sz val="9.0"/>
      <color theme="1"/>
      <name val="Arial"/>
    </font>
    <font>
      <sz val="9.0"/>
      <color rgb="FFFF0000"/>
      <name val="Arial"/>
    </font>
    <font>
      <sz val="9.0"/>
      <color rgb="FF00B050"/>
      <name val="Arial"/>
    </font>
    <font>
      <sz val="9.0"/>
      <color rgb="FF2F5496"/>
      <name val="Arial"/>
    </font>
    <font>
      <sz val="11.0"/>
      <color theme="1"/>
      <name val="Calibri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5" fontId="3" numFmtId="0" xfId="0" applyAlignment="1" applyBorder="1" applyFill="1" applyFont="1">
      <alignment horizontal="center" vertical="center"/>
    </xf>
    <xf borderId="2" fillId="6" fontId="1" numFmtId="0" xfId="0" applyAlignment="1" applyBorder="1" applyFill="1" applyFont="1">
      <alignment horizontal="center" vertical="center"/>
    </xf>
    <xf borderId="5" fillId="2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vertical="center" wrapText="1"/>
    </xf>
    <xf borderId="1" fillId="2" fontId="1" numFmtId="0" xfId="0" applyBorder="1" applyFont="1"/>
    <xf borderId="1" fillId="3" fontId="1" numFmtId="0" xfId="0" applyBorder="1" applyFont="1"/>
    <xf borderId="1" fillId="4" fontId="1" numFmtId="0" xfId="0" applyAlignment="1" applyBorder="1" applyFont="1">
      <alignment horizontal="center"/>
    </xf>
    <xf borderId="1" fillId="5" fontId="1" numFmtId="0" xfId="0" applyBorder="1" applyFont="1"/>
    <xf borderId="1" fillId="6" fontId="1" numFmtId="0" xfId="0" applyAlignment="1" applyBorder="1" applyFont="1">
      <alignment horizontal="center"/>
    </xf>
    <xf borderId="6" fillId="0" fontId="2" numFmtId="0" xfId="0" applyBorder="1" applyFont="1"/>
    <xf borderId="1" fillId="0" fontId="4" numFmtId="0" xfId="0" applyBorder="1" applyFont="1"/>
    <xf borderId="1" fillId="0" fontId="5" numFmtId="0" xfId="0" applyBorder="1" applyFont="1"/>
    <xf borderId="1" fillId="3" fontId="5" numFmtId="0" xfId="0" applyBorder="1" applyFont="1"/>
    <xf borderId="1" fillId="4" fontId="1" numFmtId="0" xfId="0" applyBorder="1" applyFont="1"/>
    <xf borderId="1" fillId="6" fontId="1" numFmtId="0" xfId="0" applyBorder="1" applyFont="1"/>
    <xf borderId="1" fillId="0" fontId="6" numFmtId="0" xfId="0" applyBorder="1" applyFont="1"/>
    <xf borderId="1" fillId="0" fontId="7" numFmtId="0" xfId="0" applyBorder="1" applyFont="1"/>
    <xf borderId="1" fillId="7" fontId="4" numFmtId="0" xfId="0" applyBorder="1" applyFill="1" applyFont="1"/>
    <xf borderId="1" fillId="7" fontId="1" numFmtId="0" xfId="0" applyBorder="1" applyFont="1"/>
    <xf borderId="1" fillId="8" fontId="4" numFmtId="0" xfId="0" applyBorder="1" applyFill="1" applyFont="1"/>
    <xf borderId="1" fillId="8" fontId="7" numFmtId="0" xfId="0" applyBorder="1" applyFont="1"/>
    <xf borderId="1" fillId="8" fontId="1" numFmtId="0" xfId="0" applyBorder="1" applyFont="1"/>
    <xf borderId="1" fillId="8" fontId="5" numFmtId="0" xfId="0" applyBorder="1" applyFont="1"/>
    <xf borderId="0" fillId="0" fontId="8" numFmtId="0" xfId="0" applyFont="1"/>
    <xf borderId="7" fillId="8" fontId="9" numFmtId="0" xfId="0" applyAlignment="1" applyBorder="1" applyFont="1">
      <alignment shrinkToFit="0" wrapText="1"/>
    </xf>
    <xf borderId="1" fillId="8" fontId="9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4.0"/>
    <col customWidth="1" min="3" max="3" width="3.14"/>
    <col customWidth="1" min="4" max="4" width="3.57"/>
    <col customWidth="1" min="5" max="5" width="3.29"/>
    <col customWidth="1" min="6" max="6" width="3.57"/>
    <col customWidth="1" min="7" max="9" width="4.14"/>
    <col customWidth="1" min="10" max="10" width="4.0"/>
    <col customWidth="1" min="11" max="11" width="4.57"/>
    <col customWidth="1" min="12" max="12" width="3.43"/>
    <col customWidth="1" min="13" max="13" width="3.71"/>
    <col customWidth="1" min="14" max="14" width="3.57"/>
    <col customWidth="1" min="15" max="15" width="4.0"/>
    <col customWidth="1" min="16" max="16" width="3.14"/>
    <col customWidth="1" min="17" max="17" width="3.57"/>
    <col customWidth="1" min="18" max="18" width="3.29"/>
    <col customWidth="1" min="19" max="19" width="3.57"/>
    <col customWidth="1" min="20" max="22" width="4.14"/>
    <col customWidth="1" min="23" max="23" width="4.0"/>
    <col customWidth="1" min="24" max="24" width="4.57"/>
    <col customWidth="1" min="25" max="25" width="3.43"/>
    <col customWidth="1" min="26" max="26" width="3.71"/>
    <col customWidth="1" min="27" max="27" width="3.57"/>
    <col customWidth="1" min="28" max="28" width="4.0"/>
    <col customWidth="1" min="29" max="29" width="3.14"/>
    <col customWidth="1" min="30" max="30" width="3.57"/>
    <col customWidth="1" min="31" max="31" width="3.29"/>
    <col customWidth="1" min="32" max="32" width="3.57"/>
    <col customWidth="1" min="33" max="35" width="4.14"/>
    <col customWidth="1" min="36" max="36" width="4.0"/>
    <col customWidth="1" min="37" max="37" width="4.57"/>
    <col customWidth="1" min="38" max="38" width="3.43"/>
    <col customWidth="1" min="39" max="39" width="3.71"/>
    <col customWidth="1" min="40" max="40" width="3.57"/>
    <col customWidth="1" min="41" max="41" width="4.0"/>
    <col customWidth="1" min="42" max="42" width="4.29"/>
    <col customWidth="1" min="43" max="43" width="3.57"/>
    <col customWidth="1" min="44" max="44" width="3.29"/>
    <col customWidth="1" min="45" max="45" width="3.57"/>
    <col customWidth="1" min="46" max="48" width="4.14"/>
    <col customWidth="1" min="49" max="49" width="4.0"/>
    <col customWidth="1" min="50" max="50" width="4.29"/>
    <col customWidth="1" min="51" max="51" width="3.43"/>
    <col customWidth="1" min="52" max="52" width="3.71"/>
    <col customWidth="1" min="53" max="53" width="3.57"/>
    <col customWidth="1" min="54" max="54" width="4.0"/>
    <col customWidth="1" min="55" max="55" width="4.29"/>
    <col customWidth="1" min="56" max="57" width="3.57"/>
    <col customWidth="1" min="58" max="60" width="4.14"/>
    <col customWidth="1" min="61" max="61" width="4.0"/>
    <col customWidth="1" min="62" max="62" width="4.29"/>
    <col customWidth="1" min="63" max="63" width="4.0"/>
    <col customWidth="1" min="64" max="64" width="4.71"/>
    <col customWidth="1" min="65" max="65" width="4.0"/>
    <col customWidth="1" min="66" max="66" width="3.86"/>
    <col customWidth="1" min="67" max="67" width="3.71"/>
    <col customWidth="1" min="68" max="68" width="7.71"/>
    <col customWidth="1" min="69" max="69" width="7.14"/>
    <col customWidth="1" min="70" max="70" width="5.57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/>
      <c r="H1" s="5"/>
      <c r="I1" s="5"/>
      <c r="J1" s="6"/>
      <c r="K1" s="7" t="s">
        <v>6</v>
      </c>
      <c r="L1" s="2" t="s">
        <v>7</v>
      </c>
      <c r="M1" s="2" t="s">
        <v>8</v>
      </c>
      <c r="N1" s="2" t="s">
        <v>9</v>
      </c>
      <c r="O1" s="2" t="s">
        <v>1</v>
      </c>
      <c r="P1" s="2" t="s">
        <v>2</v>
      </c>
      <c r="Q1" s="3" t="s">
        <v>3</v>
      </c>
      <c r="R1" s="3" t="s">
        <v>4</v>
      </c>
      <c r="S1" s="4" t="s">
        <v>5</v>
      </c>
      <c r="T1" s="5"/>
      <c r="U1" s="5"/>
      <c r="V1" s="5"/>
      <c r="W1" s="6"/>
      <c r="X1" s="7" t="s">
        <v>6</v>
      </c>
      <c r="Y1" s="2" t="s">
        <v>7</v>
      </c>
      <c r="Z1" s="2" t="s">
        <v>8</v>
      </c>
      <c r="AA1" s="2" t="s">
        <v>9</v>
      </c>
      <c r="AB1" s="2" t="s">
        <v>1</v>
      </c>
      <c r="AC1" s="2" t="s">
        <v>2</v>
      </c>
      <c r="AD1" s="3" t="s">
        <v>3</v>
      </c>
      <c r="AE1" s="3" t="s">
        <v>4</v>
      </c>
      <c r="AF1" s="4" t="s">
        <v>5</v>
      </c>
      <c r="AG1" s="5"/>
      <c r="AH1" s="5"/>
      <c r="AI1" s="5"/>
      <c r="AJ1" s="6"/>
      <c r="AK1" s="7" t="s">
        <v>6</v>
      </c>
      <c r="AL1" s="2" t="s">
        <v>7</v>
      </c>
      <c r="AM1" s="2" t="s">
        <v>8</v>
      </c>
      <c r="AN1" s="2" t="s">
        <v>9</v>
      </c>
      <c r="AO1" s="2" t="s">
        <v>1</v>
      </c>
      <c r="AP1" s="2" t="s">
        <v>2</v>
      </c>
      <c r="AQ1" s="3" t="s">
        <v>3</v>
      </c>
      <c r="AR1" s="3" t="s">
        <v>4</v>
      </c>
      <c r="AS1" s="4" t="s">
        <v>5</v>
      </c>
      <c r="AT1" s="5"/>
      <c r="AU1" s="5"/>
      <c r="AV1" s="5"/>
      <c r="AW1" s="6"/>
      <c r="AX1" s="7" t="s">
        <v>6</v>
      </c>
      <c r="AY1" s="2" t="s">
        <v>7</v>
      </c>
      <c r="AZ1" s="2" t="s">
        <v>8</v>
      </c>
      <c r="BA1" s="2" t="s">
        <v>9</v>
      </c>
      <c r="BB1" s="2" t="s">
        <v>1</v>
      </c>
      <c r="BC1" s="2" t="s">
        <v>2</v>
      </c>
      <c r="BD1" s="3" t="s">
        <v>3</v>
      </c>
      <c r="BE1" s="4" t="s">
        <v>5</v>
      </c>
      <c r="BF1" s="5"/>
      <c r="BG1" s="5"/>
      <c r="BH1" s="5"/>
      <c r="BI1" s="6"/>
      <c r="BJ1" s="7" t="s">
        <v>6</v>
      </c>
      <c r="BK1" s="8" t="s">
        <v>5</v>
      </c>
      <c r="BL1" s="5"/>
      <c r="BM1" s="5"/>
      <c r="BN1" s="5"/>
      <c r="BO1" s="6"/>
      <c r="BP1" s="9" t="s">
        <v>10</v>
      </c>
      <c r="BQ1" s="9" t="s">
        <v>11</v>
      </c>
      <c r="BR1" s="10" t="s">
        <v>12</v>
      </c>
    </row>
    <row r="2">
      <c r="A2" s="11" t="s">
        <v>13</v>
      </c>
      <c r="B2" s="11">
        <v>1.0</v>
      </c>
      <c r="C2" s="11">
        <v>2.0</v>
      </c>
      <c r="D2" s="12">
        <v>3.0</v>
      </c>
      <c r="E2" s="12">
        <v>4.0</v>
      </c>
      <c r="F2" s="13" t="s">
        <v>14</v>
      </c>
      <c r="G2" s="13" t="s">
        <v>15</v>
      </c>
      <c r="H2" s="13" t="s">
        <v>16</v>
      </c>
      <c r="I2" s="13" t="s">
        <v>17</v>
      </c>
      <c r="J2" s="13" t="s">
        <v>18</v>
      </c>
      <c r="K2" s="14"/>
      <c r="L2" s="11">
        <v>5.0</v>
      </c>
      <c r="M2" s="11">
        <v>6.0</v>
      </c>
      <c r="N2" s="11">
        <v>7.0</v>
      </c>
      <c r="O2" s="11">
        <v>8.0</v>
      </c>
      <c r="P2" s="11">
        <v>9.0</v>
      </c>
      <c r="Q2" s="12">
        <v>10.0</v>
      </c>
      <c r="R2" s="12">
        <v>11.0</v>
      </c>
      <c r="S2" s="13" t="s">
        <v>14</v>
      </c>
      <c r="T2" s="13" t="s">
        <v>15</v>
      </c>
      <c r="U2" s="13" t="s">
        <v>16</v>
      </c>
      <c r="V2" s="13" t="s">
        <v>17</v>
      </c>
      <c r="W2" s="13" t="s">
        <v>18</v>
      </c>
      <c r="X2" s="14"/>
      <c r="Y2" s="11">
        <v>12.0</v>
      </c>
      <c r="Z2" s="11">
        <v>13.0</v>
      </c>
      <c r="AA2" s="11">
        <v>14.0</v>
      </c>
      <c r="AB2" s="11">
        <v>15.0</v>
      </c>
      <c r="AC2" s="11">
        <v>16.0</v>
      </c>
      <c r="AD2" s="12">
        <v>17.0</v>
      </c>
      <c r="AE2" s="12">
        <v>18.0</v>
      </c>
      <c r="AF2" s="13" t="s">
        <v>14</v>
      </c>
      <c r="AG2" s="13" t="s">
        <v>15</v>
      </c>
      <c r="AH2" s="13" t="s">
        <v>16</v>
      </c>
      <c r="AI2" s="13" t="s">
        <v>17</v>
      </c>
      <c r="AJ2" s="13" t="s">
        <v>18</v>
      </c>
      <c r="AK2" s="14"/>
      <c r="AL2" s="11">
        <v>19.0</v>
      </c>
      <c r="AM2" s="11">
        <v>20.0</v>
      </c>
      <c r="AN2" s="11">
        <v>21.0</v>
      </c>
      <c r="AO2" s="11">
        <v>22.0</v>
      </c>
      <c r="AP2" s="11">
        <v>23.0</v>
      </c>
      <c r="AQ2" s="12">
        <v>24.0</v>
      </c>
      <c r="AR2" s="12">
        <v>25.0</v>
      </c>
      <c r="AS2" s="13" t="s">
        <v>14</v>
      </c>
      <c r="AT2" s="13" t="s">
        <v>15</v>
      </c>
      <c r="AU2" s="13" t="s">
        <v>16</v>
      </c>
      <c r="AV2" s="13" t="s">
        <v>17</v>
      </c>
      <c r="AW2" s="13" t="s">
        <v>18</v>
      </c>
      <c r="AX2" s="14"/>
      <c r="AY2" s="11">
        <v>26.0</v>
      </c>
      <c r="AZ2" s="11">
        <v>27.0</v>
      </c>
      <c r="BA2" s="11">
        <v>28.0</v>
      </c>
      <c r="BB2" s="11">
        <v>29.0</v>
      </c>
      <c r="BC2" s="11">
        <v>30.0</v>
      </c>
      <c r="BD2" s="12">
        <v>31.0</v>
      </c>
      <c r="BE2" s="13" t="s">
        <v>14</v>
      </c>
      <c r="BF2" s="13" t="s">
        <v>15</v>
      </c>
      <c r="BG2" s="13" t="s">
        <v>16</v>
      </c>
      <c r="BH2" s="13" t="s">
        <v>17</v>
      </c>
      <c r="BI2" s="13" t="s">
        <v>18</v>
      </c>
      <c r="BJ2" s="14"/>
      <c r="BK2" s="15" t="s">
        <v>14</v>
      </c>
      <c r="BL2" s="15" t="s">
        <v>19</v>
      </c>
      <c r="BM2" s="15" t="s">
        <v>18</v>
      </c>
      <c r="BN2" s="15" t="s">
        <v>16</v>
      </c>
      <c r="BO2" s="15" t="s">
        <v>17</v>
      </c>
      <c r="BP2" s="16"/>
      <c r="BQ2" s="16"/>
      <c r="BR2" s="16"/>
    </row>
    <row r="3" ht="18.75" customHeight="1">
      <c r="A3" s="17" t="s">
        <v>20</v>
      </c>
      <c r="B3" s="17" t="s">
        <v>18</v>
      </c>
      <c r="C3" s="18" t="s">
        <v>21</v>
      </c>
      <c r="D3" s="19" t="s">
        <v>21</v>
      </c>
      <c r="E3" s="19" t="s">
        <v>21</v>
      </c>
      <c r="F3" s="20">
        <v>0.0</v>
      </c>
      <c r="G3" s="20">
        <v>0.0</v>
      </c>
      <c r="H3" s="20">
        <v>0.0</v>
      </c>
      <c r="I3" s="20">
        <v>0.0</v>
      </c>
      <c r="J3" s="20">
        <v>1.0</v>
      </c>
      <c r="K3" s="14">
        <f>(7*F3)+(7*G3)+(12*H3)+(9*I3)+(12*J3)</f>
        <v>12</v>
      </c>
      <c r="L3" s="17" t="s">
        <v>18</v>
      </c>
      <c r="M3" s="17" t="s">
        <v>18</v>
      </c>
      <c r="N3" s="17" t="s">
        <v>18</v>
      </c>
      <c r="O3" s="17" t="s">
        <v>18</v>
      </c>
      <c r="P3" s="18" t="s">
        <v>21</v>
      </c>
      <c r="Q3" s="19" t="s">
        <v>21</v>
      </c>
      <c r="R3" s="19" t="s">
        <v>21</v>
      </c>
      <c r="S3" s="20">
        <v>0.0</v>
      </c>
      <c r="T3" s="20">
        <v>0.0</v>
      </c>
      <c r="U3" s="20">
        <v>0.0</v>
      </c>
      <c r="V3" s="20">
        <v>0.0</v>
      </c>
      <c r="W3" s="20">
        <v>4.0</v>
      </c>
      <c r="X3" s="14">
        <f>(7*S3)+(7*T3)+(12*U3)+(9*V3)+(12*W3)</f>
        <v>48</v>
      </c>
      <c r="Y3" s="17" t="s">
        <v>18</v>
      </c>
      <c r="Z3" s="17" t="s">
        <v>18</v>
      </c>
      <c r="AA3" s="17" t="s">
        <v>18</v>
      </c>
      <c r="AB3" s="17" t="s">
        <v>18</v>
      </c>
      <c r="AC3" s="18" t="s">
        <v>21</v>
      </c>
      <c r="AD3" s="19" t="s">
        <v>21</v>
      </c>
      <c r="AE3" s="19" t="s">
        <v>21</v>
      </c>
      <c r="AF3" s="20">
        <v>0.0</v>
      </c>
      <c r="AG3" s="20">
        <v>0.0</v>
      </c>
      <c r="AH3" s="20">
        <v>0.0</v>
      </c>
      <c r="AI3" s="20">
        <v>0.0</v>
      </c>
      <c r="AJ3" s="20">
        <v>4.0</v>
      </c>
      <c r="AK3" s="14">
        <f>(7*AF3)+(7*AG3)+(12*AH3)+(9*AI3)+(12*AJ3)</f>
        <v>48</v>
      </c>
      <c r="AL3" s="17" t="s">
        <v>18</v>
      </c>
      <c r="AM3" s="17" t="s">
        <v>18</v>
      </c>
      <c r="AN3" s="17" t="s">
        <v>18</v>
      </c>
      <c r="AO3" s="17" t="s">
        <v>18</v>
      </c>
      <c r="AP3" s="18" t="s">
        <v>21</v>
      </c>
      <c r="AQ3" s="19" t="s">
        <v>21</v>
      </c>
      <c r="AR3" s="19" t="s">
        <v>21</v>
      </c>
      <c r="AS3" s="20">
        <v>0.0</v>
      </c>
      <c r="AT3" s="20">
        <v>0.0</v>
      </c>
      <c r="AU3" s="20">
        <v>0.0</v>
      </c>
      <c r="AV3" s="20">
        <v>0.0</v>
      </c>
      <c r="AW3" s="20">
        <v>4.0</v>
      </c>
      <c r="AX3" s="14">
        <f>(7*AS3)+(7*AT3)+(12*AU3)+(9*AV3)+(12*AW3)</f>
        <v>48</v>
      </c>
      <c r="AY3" s="17" t="s">
        <v>18</v>
      </c>
      <c r="AZ3" s="17" t="s">
        <v>18</v>
      </c>
      <c r="BA3" s="17" t="s">
        <v>18</v>
      </c>
      <c r="BB3" s="17" t="s">
        <v>18</v>
      </c>
      <c r="BC3" s="18" t="s">
        <v>21</v>
      </c>
      <c r="BD3" s="19" t="s">
        <v>21</v>
      </c>
      <c r="BE3" s="20">
        <v>0.0</v>
      </c>
      <c r="BF3" s="20">
        <v>0.0</v>
      </c>
      <c r="BG3" s="20">
        <v>0.0</v>
      </c>
      <c r="BH3" s="20">
        <v>0.0</v>
      </c>
      <c r="BI3" s="20">
        <v>4.0</v>
      </c>
      <c r="BJ3" s="14">
        <f>(7*BE3)+(7*BF3)+(12*BG3)+(9*BH3)+(12*BI3)</f>
        <v>48</v>
      </c>
      <c r="BK3" s="21">
        <f t="shared" ref="BK3:BL3" si="1">SUM(F3,S3,AF3,AS3,BE3)</f>
        <v>0</v>
      </c>
      <c r="BL3" s="21">
        <f t="shared" si="1"/>
        <v>0</v>
      </c>
      <c r="BM3" s="21">
        <f t="shared" ref="BM3:BM4" si="4">SUM(J3,W3,AJ3,AW3,BI3)</f>
        <v>17</v>
      </c>
      <c r="BN3" s="21">
        <f t="shared" ref="BN3:BO3" si="2">SUM(H3,U3,AH3,AU3,BG3)</f>
        <v>0</v>
      </c>
      <c r="BO3" s="21">
        <f t="shared" si="2"/>
        <v>0</v>
      </c>
      <c r="BP3" s="17">
        <f t="shared" ref="BP3:BP4" si="6">SUM(BK3:BO3)</f>
        <v>17</v>
      </c>
      <c r="BQ3" s="17">
        <f t="shared" ref="BQ3:BQ4" si="7">SUM(K3,X3,AK3,AX3,BJ3)</f>
        <v>204</v>
      </c>
      <c r="BR3" s="17">
        <f t="shared" ref="BR3:BR4" si="8">BQ3-180</f>
        <v>24</v>
      </c>
    </row>
    <row r="4" ht="18.0" customHeight="1">
      <c r="A4" s="17" t="s">
        <v>22</v>
      </c>
      <c r="B4" s="22" t="s">
        <v>23</v>
      </c>
      <c r="C4" s="22" t="s">
        <v>23</v>
      </c>
      <c r="D4" s="19" t="s">
        <v>21</v>
      </c>
      <c r="E4" s="19" t="s">
        <v>21</v>
      </c>
      <c r="F4" s="20">
        <v>0.0</v>
      </c>
      <c r="G4" s="20">
        <v>0.0</v>
      </c>
      <c r="H4" s="20">
        <v>0.0</v>
      </c>
      <c r="I4" s="20">
        <v>0.0</v>
      </c>
      <c r="J4" s="20">
        <v>1.0</v>
      </c>
      <c r="K4" s="14">
        <f>(7*F4)+(7*G4)+(12*H4)+(8*I4)+(12*J4)</f>
        <v>12</v>
      </c>
      <c r="L4" s="22" t="s">
        <v>23</v>
      </c>
      <c r="M4" s="22" t="s">
        <v>23</v>
      </c>
      <c r="N4" s="22" t="s">
        <v>23</v>
      </c>
      <c r="O4" s="22" t="s">
        <v>23</v>
      </c>
      <c r="P4" s="22" t="s">
        <v>23</v>
      </c>
      <c r="Q4" s="19" t="s">
        <v>21</v>
      </c>
      <c r="R4" s="19" t="s">
        <v>21</v>
      </c>
      <c r="S4" s="20">
        <v>0.0</v>
      </c>
      <c r="T4" s="20">
        <v>0.0</v>
      </c>
      <c r="U4" s="20">
        <v>0.0</v>
      </c>
      <c r="V4" s="20">
        <v>0.0</v>
      </c>
      <c r="W4" s="20">
        <v>0.0</v>
      </c>
      <c r="X4" s="14">
        <f>(7*S4)+(7*T4)+(12*U4)+(8*V4)+(12*W4)</f>
        <v>0</v>
      </c>
      <c r="Y4" s="23" t="s">
        <v>16</v>
      </c>
      <c r="Z4" s="23" t="s">
        <v>16</v>
      </c>
      <c r="AA4" s="23" t="s">
        <v>16</v>
      </c>
      <c r="AB4" s="18" t="s">
        <v>21</v>
      </c>
      <c r="AC4" s="17" t="s">
        <v>18</v>
      </c>
      <c r="AD4" s="19" t="s">
        <v>21</v>
      </c>
      <c r="AE4" s="19" t="s">
        <v>21</v>
      </c>
      <c r="AF4" s="20">
        <v>0.0</v>
      </c>
      <c r="AG4" s="20">
        <v>0.0</v>
      </c>
      <c r="AH4" s="20">
        <v>3.0</v>
      </c>
      <c r="AI4" s="20">
        <v>0.0</v>
      </c>
      <c r="AJ4" s="20">
        <v>1.0</v>
      </c>
      <c r="AK4" s="14">
        <f>(7*AF4)+(7*AG4)+(12*AH4)+(8*AI4)+(12*AJ4)</f>
        <v>48</v>
      </c>
      <c r="AL4" s="23" t="s">
        <v>16</v>
      </c>
      <c r="AM4" s="23" t="s">
        <v>16</v>
      </c>
      <c r="AN4" s="23" t="s">
        <v>16</v>
      </c>
      <c r="AO4" s="18" t="s">
        <v>21</v>
      </c>
      <c r="AP4" s="18" t="s">
        <v>21</v>
      </c>
      <c r="AQ4" s="19" t="s">
        <v>21</v>
      </c>
      <c r="AR4" s="19" t="s">
        <v>21</v>
      </c>
      <c r="AS4" s="20">
        <v>0.0</v>
      </c>
      <c r="AT4" s="20">
        <v>0.0</v>
      </c>
      <c r="AU4" s="20">
        <v>3.0</v>
      </c>
      <c r="AV4" s="20">
        <v>0.0</v>
      </c>
      <c r="AW4" s="20">
        <v>0.0</v>
      </c>
      <c r="AX4" s="14">
        <f>(7*AS4)+(7*AT4)+(12*AU4)+(8*AV4)+(12*AW4)</f>
        <v>36</v>
      </c>
      <c r="AY4" s="23" t="s">
        <v>16</v>
      </c>
      <c r="AZ4" s="23" t="s">
        <v>16</v>
      </c>
      <c r="BA4" s="23" t="s">
        <v>16</v>
      </c>
      <c r="BB4" s="18" t="s">
        <v>21</v>
      </c>
      <c r="BC4" s="17" t="s">
        <v>18</v>
      </c>
      <c r="BD4" s="19" t="s">
        <v>21</v>
      </c>
      <c r="BE4" s="20">
        <v>0.0</v>
      </c>
      <c r="BF4" s="20">
        <v>0.0</v>
      </c>
      <c r="BG4" s="20">
        <v>3.0</v>
      </c>
      <c r="BH4" s="20">
        <v>0.0</v>
      </c>
      <c r="BI4" s="20">
        <v>1.0</v>
      </c>
      <c r="BJ4" s="14">
        <f>(7*BE4)+(7*BF4)+(12*BG4)+(8*BH4)+(12*BI4)</f>
        <v>48</v>
      </c>
      <c r="BK4" s="21">
        <f t="shared" ref="BK4:BL4" si="3">SUM(F4,S4,AF4,AS4,BE4)</f>
        <v>0</v>
      </c>
      <c r="BL4" s="21">
        <f t="shared" si="3"/>
        <v>0</v>
      </c>
      <c r="BM4" s="21">
        <f t="shared" si="4"/>
        <v>3</v>
      </c>
      <c r="BN4" s="21">
        <f t="shared" ref="BN4:BO4" si="5">SUM(H4,U4,AH4,AU4,BG4)</f>
        <v>9</v>
      </c>
      <c r="BO4" s="21">
        <f t="shared" si="5"/>
        <v>0</v>
      </c>
      <c r="BP4" s="17">
        <f t="shared" si="6"/>
        <v>12</v>
      </c>
      <c r="BQ4" s="17">
        <f t="shared" si="7"/>
        <v>144</v>
      </c>
      <c r="BR4" s="17">
        <f t="shared" si="8"/>
        <v>-36</v>
      </c>
    </row>
    <row r="5" ht="18.0" customHeight="1">
      <c r="A5" s="11" t="s">
        <v>24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5">
        <f>SUM(BQ3:BQ4)</f>
        <v>348</v>
      </c>
      <c r="BR5" s="24"/>
    </row>
    <row r="6" ht="19.5" customHeight="1">
      <c r="A6" s="26" t="s">
        <v>25</v>
      </c>
      <c r="B6" s="27" t="s">
        <v>16</v>
      </c>
      <c r="C6" s="27" t="s">
        <v>16</v>
      </c>
      <c r="D6" s="27" t="s">
        <v>16</v>
      </c>
      <c r="E6" s="27" t="s">
        <v>16</v>
      </c>
      <c r="F6" s="28">
        <v>0.0</v>
      </c>
      <c r="G6" s="28">
        <v>0.0</v>
      </c>
      <c r="H6" s="28">
        <v>4.0</v>
      </c>
      <c r="I6" s="28">
        <v>0.0</v>
      </c>
      <c r="J6" s="28">
        <v>0.0</v>
      </c>
      <c r="K6" s="28">
        <f t="shared" ref="K6:K9" si="11">(7*F6)+(7*G6)+(12*H6)+(8*I6)+(12*J6)</f>
        <v>48</v>
      </c>
      <c r="L6" s="29" t="s">
        <v>21</v>
      </c>
      <c r="M6" s="29" t="s">
        <v>21</v>
      </c>
      <c r="N6" s="29" t="s">
        <v>21</v>
      </c>
      <c r="O6" s="27" t="s">
        <v>16</v>
      </c>
      <c r="P6" s="27" t="s">
        <v>16</v>
      </c>
      <c r="Q6" s="27" t="s">
        <v>16</v>
      </c>
      <c r="R6" s="29" t="s">
        <v>21</v>
      </c>
      <c r="S6" s="28">
        <v>0.0</v>
      </c>
      <c r="T6" s="28">
        <v>0.0</v>
      </c>
      <c r="U6" s="28">
        <v>4.0</v>
      </c>
      <c r="V6" s="28">
        <v>0.0</v>
      </c>
      <c r="W6" s="28">
        <v>0.0</v>
      </c>
      <c r="X6" s="28">
        <f t="shared" ref="X6:X9" si="12">(7*S6)+(7*T6)+(12*U6)+(8*V6)+(12*W6)</f>
        <v>48</v>
      </c>
      <c r="Y6" s="29" t="s">
        <v>21</v>
      </c>
      <c r="Z6" s="29" t="s">
        <v>21</v>
      </c>
      <c r="AA6" s="29" t="s">
        <v>21</v>
      </c>
      <c r="AB6" s="27" t="s">
        <v>16</v>
      </c>
      <c r="AC6" s="27" t="s">
        <v>16</v>
      </c>
      <c r="AD6" s="27" t="s">
        <v>16</v>
      </c>
      <c r="AE6" s="27" t="s">
        <v>16</v>
      </c>
      <c r="AF6" s="28">
        <v>0.0</v>
      </c>
      <c r="AG6" s="28">
        <v>0.0</v>
      </c>
      <c r="AH6" s="28">
        <v>4.0</v>
      </c>
      <c r="AI6" s="28">
        <v>0.0</v>
      </c>
      <c r="AJ6" s="28">
        <v>0.0</v>
      </c>
      <c r="AK6" s="28">
        <f t="shared" ref="AK6:AK9" si="13">(7*AF6)+(7*AG6)+(12*AH6)+(8*AI6)+(12*AJ6)</f>
        <v>48</v>
      </c>
      <c r="AL6" s="29" t="s">
        <v>21</v>
      </c>
      <c r="AM6" s="29" t="s">
        <v>21</v>
      </c>
      <c r="AN6" s="29" t="s">
        <v>21</v>
      </c>
      <c r="AO6" s="27" t="s">
        <v>16</v>
      </c>
      <c r="AP6" s="27" t="s">
        <v>16</v>
      </c>
      <c r="AQ6" s="27" t="s">
        <v>16</v>
      </c>
      <c r="AR6" s="27" t="s">
        <v>16</v>
      </c>
      <c r="AS6" s="28">
        <v>0.0</v>
      </c>
      <c r="AT6" s="28">
        <v>0.0</v>
      </c>
      <c r="AU6" s="28">
        <v>4.0</v>
      </c>
      <c r="AV6" s="28">
        <v>0.0</v>
      </c>
      <c r="AW6" s="28">
        <v>0.0</v>
      </c>
      <c r="AX6" s="28">
        <f t="shared" ref="AX6:AX9" si="14">(7*AS6)+(7*AT6)+(12*AU6)+(8*AV6)+(12*AW6)</f>
        <v>48</v>
      </c>
      <c r="AY6" s="29" t="s">
        <v>21</v>
      </c>
      <c r="AZ6" s="29" t="s">
        <v>21</v>
      </c>
      <c r="BA6" s="29" t="s">
        <v>21</v>
      </c>
      <c r="BB6" s="27" t="s">
        <v>16</v>
      </c>
      <c r="BC6" s="27" t="s">
        <v>16</v>
      </c>
      <c r="BD6" s="27" t="s">
        <v>16</v>
      </c>
      <c r="BE6" s="28">
        <v>0.0</v>
      </c>
      <c r="BF6" s="28">
        <v>0.0</v>
      </c>
      <c r="BG6" s="28">
        <v>3.0</v>
      </c>
      <c r="BH6" s="28">
        <v>0.0</v>
      </c>
      <c r="BI6" s="28">
        <v>0.0</v>
      </c>
      <c r="BJ6" s="28">
        <f t="shared" ref="BJ6:BJ9" si="15">(7*BE6)+(7*BF6)+(12*BG6)+(8*BH6)+(12*BI6)</f>
        <v>36</v>
      </c>
      <c r="BK6" s="28">
        <f t="shared" ref="BK6:BL6" si="9">SUM(F6,S6,AF6,AS6,BE6)</f>
        <v>0</v>
      </c>
      <c r="BL6" s="28">
        <f t="shared" si="9"/>
        <v>0</v>
      </c>
      <c r="BM6" s="28">
        <f t="shared" ref="BM6:BM9" si="17">SUM(J6,W6,AJ6,AW6,BI6)</f>
        <v>0</v>
      </c>
      <c r="BN6" s="28">
        <f t="shared" ref="BN6:BO6" si="10">SUM(H6,U6,AH6,AU6,BG6)</f>
        <v>19</v>
      </c>
      <c r="BO6" s="28">
        <f t="shared" si="10"/>
        <v>0</v>
      </c>
      <c r="BP6" s="26">
        <f t="shared" ref="BP6:BP9" si="19">SUM(BK6:BO6)</f>
        <v>19</v>
      </c>
      <c r="BQ6" s="26">
        <f t="shared" ref="BQ6:BQ9" si="20">SUM(K6,X6,AK6,AX6,BJ6)</f>
        <v>228</v>
      </c>
      <c r="BR6" s="26">
        <f t="shared" ref="BR6:BR9" si="21">BQ6-180</f>
        <v>48</v>
      </c>
    </row>
    <row r="7" ht="18.0" customHeight="1">
      <c r="A7" s="26" t="s">
        <v>26</v>
      </c>
      <c r="B7" s="26" t="s">
        <v>18</v>
      </c>
      <c r="C7" s="29" t="s">
        <v>21</v>
      </c>
      <c r="D7" s="29" t="s">
        <v>21</v>
      </c>
      <c r="E7" s="29" t="s">
        <v>21</v>
      </c>
      <c r="F7" s="28">
        <v>0.0</v>
      </c>
      <c r="G7" s="28">
        <v>0.0</v>
      </c>
      <c r="H7" s="28">
        <v>0.0</v>
      </c>
      <c r="I7" s="28">
        <v>0.0</v>
      </c>
      <c r="J7" s="28">
        <v>1.0</v>
      </c>
      <c r="K7" s="28">
        <f t="shared" si="11"/>
        <v>12</v>
      </c>
      <c r="L7" s="29" t="s">
        <v>21</v>
      </c>
      <c r="M7" s="29" t="s">
        <v>21</v>
      </c>
      <c r="N7" s="29" t="s">
        <v>21</v>
      </c>
      <c r="O7" s="29" t="s">
        <v>21</v>
      </c>
      <c r="P7" s="29" t="s">
        <v>21</v>
      </c>
      <c r="Q7" s="26" t="s">
        <v>18</v>
      </c>
      <c r="R7" s="26" t="s">
        <v>18</v>
      </c>
      <c r="S7" s="28">
        <v>0.0</v>
      </c>
      <c r="T7" s="28">
        <v>0.0</v>
      </c>
      <c r="U7" s="28">
        <v>0.0</v>
      </c>
      <c r="V7" s="28">
        <v>0.0</v>
      </c>
      <c r="W7" s="28">
        <v>2.0</v>
      </c>
      <c r="X7" s="28">
        <f t="shared" si="12"/>
        <v>24</v>
      </c>
      <c r="Y7" s="29" t="s">
        <v>21</v>
      </c>
      <c r="Z7" s="29" t="s">
        <v>21</v>
      </c>
      <c r="AA7" s="29" t="s">
        <v>21</v>
      </c>
      <c r="AB7" s="29" t="s">
        <v>21</v>
      </c>
      <c r="AC7" s="29" t="s">
        <v>21</v>
      </c>
      <c r="AD7" s="29" t="s">
        <v>21</v>
      </c>
      <c r="AE7" s="29" t="s">
        <v>21</v>
      </c>
      <c r="AF7" s="28">
        <v>0.0</v>
      </c>
      <c r="AG7" s="28">
        <v>0.0</v>
      </c>
      <c r="AH7" s="28">
        <v>0.0</v>
      </c>
      <c r="AI7" s="28">
        <v>0.0</v>
      </c>
      <c r="AJ7" s="28">
        <v>0.0</v>
      </c>
      <c r="AK7" s="28">
        <f t="shared" si="13"/>
        <v>0</v>
      </c>
      <c r="AL7" s="29" t="s">
        <v>21</v>
      </c>
      <c r="AM7" s="29" t="s">
        <v>21</v>
      </c>
      <c r="AN7" s="29" t="s">
        <v>21</v>
      </c>
      <c r="AO7" s="29" t="s">
        <v>21</v>
      </c>
      <c r="AP7" s="29" t="s">
        <v>21</v>
      </c>
      <c r="AQ7" s="26" t="s">
        <v>18</v>
      </c>
      <c r="AR7" s="26" t="s">
        <v>18</v>
      </c>
      <c r="AS7" s="28">
        <v>0.0</v>
      </c>
      <c r="AT7" s="28">
        <v>0.0</v>
      </c>
      <c r="AU7" s="28">
        <v>0.0</v>
      </c>
      <c r="AV7" s="28">
        <v>0.0</v>
      </c>
      <c r="AW7" s="28">
        <v>2.0</v>
      </c>
      <c r="AX7" s="28">
        <f t="shared" si="14"/>
        <v>24</v>
      </c>
      <c r="AY7" s="29" t="s">
        <v>21</v>
      </c>
      <c r="AZ7" s="29" t="s">
        <v>21</v>
      </c>
      <c r="BA7" s="29" t="s">
        <v>21</v>
      </c>
      <c r="BB7" s="29" t="s">
        <v>21</v>
      </c>
      <c r="BC7" s="29" t="s">
        <v>21</v>
      </c>
      <c r="BD7" s="29" t="s">
        <v>21</v>
      </c>
      <c r="BE7" s="28">
        <v>0.0</v>
      </c>
      <c r="BF7" s="28">
        <v>0.0</v>
      </c>
      <c r="BG7" s="28">
        <v>0.0</v>
      </c>
      <c r="BH7" s="28">
        <v>0.0</v>
      </c>
      <c r="BI7" s="28">
        <v>0.0</v>
      </c>
      <c r="BJ7" s="28">
        <f t="shared" si="15"/>
        <v>0</v>
      </c>
      <c r="BK7" s="28">
        <f t="shared" ref="BK7:BL7" si="16">SUM(F7,S7,AF7,AS7,BE7)</f>
        <v>0</v>
      </c>
      <c r="BL7" s="28">
        <f t="shared" si="16"/>
        <v>0</v>
      </c>
      <c r="BM7" s="28">
        <f t="shared" si="17"/>
        <v>5</v>
      </c>
      <c r="BN7" s="28">
        <f t="shared" ref="BN7:BO7" si="18">SUM(H7,U7,AH7,AU7,BG7)</f>
        <v>0</v>
      </c>
      <c r="BO7" s="28">
        <f t="shared" si="18"/>
        <v>0</v>
      </c>
      <c r="BP7" s="26">
        <f t="shared" si="19"/>
        <v>5</v>
      </c>
      <c r="BQ7" s="26">
        <f t="shared" si="20"/>
        <v>60</v>
      </c>
      <c r="BR7" s="26">
        <f t="shared" si="21"/>
        <v>-120</v>
      </c>
    </row>
    <row r="8" ht="18.75" customHeight="1">
      <c r="A8" s="26" t="s">
        <v>27</v>
      </c>
      <c r="B8" s="29" t="s">
        <v>21</v>
      </c>
      <c r="C8" s="29" t="s">
        <v>21</v>
      </c>
      <c r="D8" s="26" t="s">
        <v>18</v>
      </c>
      <c r="E8" s="26" t="s">
        <v>18</v>
      </c>
      <c r="F8" s="28">
        <v>0.0</v>
      </c>
      <c r="G8" s="28">
        <v>0.0</v>
      </c>
      <c r="H8" s="28">
        <v>0.0</v>
      </c>
      <c r="I8" s="28">
        <v>0.0</v>
      </c>
      <c r="J8" s="28">
        <v>2.0</v>
      </c>
      <c r="K8" s="28">
        <f t="shared" si="11"/>
        <v>24</v>
      </c>
      <c r="L8" s="29" t="s">
        <v>21</v>
      </c>
      <c r="M8" s="29" t="s">
        <v>21</v>
      </c>
      <c r="N8" s="29" t="s">
        <v>21</v>
      </c>
      <c r="O8" s="29" t="s">
        <v>21</v>
      </c>
      <c r="P8" s="26" t="s">
        <v>18</v>
      </c>
      <c r="Q8" s="29" t="s">
        <v>21</v>
      </c>
      <c r="R8" s="29" t="s">
        <v>21</v>
      </c>
      <c r="S8" s="28">
        <v>0.0</v>
      </c>
      <c r="T8" s="28">
        <v>0.0</v>
      </c>
      <c r="U8" s="28">
        <v>0.0</v>
      </c>
      <c r="V8" s="28">
        <v>0.0</v>
      </c>
      <c r="W8" s="28">
        <v>1.0</v>
      </c>
      <c r="X8" s="28">
        <f t="shared" si="12"/>
        <v>12</v>
      </c>
      <c r="Y8" s="29" t="s">
        <v>21</v>
      </c>
      <c r="Z8" s="29" t="s">
        <v>21</v>
      </c>
      <c r="AA8" s="29" t="s">
        <v>21</v>
      </c>
      <c r="AB8" s="29" t="s">
        <v>21</v>
      </c>
      <c r="AC8" s="29" t="s">
        <v>21</v>
      </c>
      <c r="AD8" s="26" t="s">
        <v>18</v>
      </c>
      <c r="AE8" s="26" t="s">
        <v>18</v>
      </c>
      <c r="AF8" s="28">
        <v>0.0</v>
      </c>
      <c r="AG8" s="28">
        <v>0.0</v>
      </c>
      <c r="AH8" s="28">
        <v>0.0</v>
      </c>
      <c r="AI8" s="28">
        <v>0.0</v>
      </c>
      <c r="AJ8" s="28">
        <v>2.0</v>
      </c>
      <c r="AK8" s="28">
        <f t="shared" si="13"/>
        <v>24</v>
      </c>
      <c r="AL8" s="29" t="s">
        <v>21</v>
      </c>
      <c r="AM8" s="29" t="s">
        <v>21</v>
      </c>
      <c r="AN8" s="29" t="s">
        <v>21</v>
      </c>
      <c r="AO8" s="29" t="s">
        <v>21</v>
      </c>
      <c r="AP8" s="26" t="s">
        <v>18</v>
      </c>
      <c r="AQ8" s="29" t="s">
        <v>21</v>
      </c>
      <c r="AR8" s="29" t="s">
        <v>21</v>
      </c>
      <c r="AS8" s="28">
        <v>0.0</v>
      </c>
      <c r="AT8" s="28">
        <v>0.0</v>
      </c>
      <c r="AU8" s="28">
        <v>0.0</v>
      </c>
      <c r="AV8" s="28">
        <v>0.0</v>
      </c>
      <c r="AW8" s="28">
        <v>1.0</v>
      </c>
      <c r="AX8" s="28">
        <f t="shared" si="14"/>
        <v>12</v>
      </c>
      <c r="AY8" s="29" t="s">
        <v>21</v>
      </c>
      <c r="AZ8" s="29" t="s">
        <v>21</v>
      </c>
      <c r="BA8" s="29" t="s">
        <v>21</v>
      </c>
      <c r="BB8" s="29" t="s">
        <v>21</v>
      </c>
      <c r="BC8" s="29" t="s">
        <v>21</v>
      </c>
      <c r="BD8" s="26" t="s">
        <v>18</v>
      </c>
      <c r="BE8" s="28">
        <v>0.0</v>
      </c>
      <c r="BF8" s="28">
        <v>0.0</v>
      </c>
      <c r="BG8" s="28">
        <v>0.0</v>
      </c>
      <c r="BH8" s="28">
        <v>0.0</v>
      </c>
      <c r="BI8" s="28">
        <v>1.0</v>
      </c>
      <c r="BJ8" s="28">
        <f t="shared" si="15"/>
        <v>12</v>
      </c>
      <c r="BK8" s="28">
        <f t="shared" ref="BK8:BL8" si="22">SUM(F8,S8,AF8,AS8,BE8)</f>
        <v>0</v>
      </c>
      <c r="BL8" s="28">
        <f t="shared" si="22"/>
        <v>0</v>
      </c>
      <c r="BM8" s="28">
        <f t="shared" si="17"/>
        <v>7</v>
      </c>
      <c r="BN8" s="28">
        <f t="shared" ref="BN8:BO8" si="23">SUM(H8,U8,AH8,AU8,BG8)</f>
        <v>0</v>
      </c>
      <c r="BO8" s="28">
        <f t="shared" si="23"/>
        <v>0</v>
      </c>
      <c r="BP8" s="26">
        <f t="shared" si="19"/>
        <v>7</v>
      </c>
      <c r="BQ8" s="26">
        <f t="shared" si="20"/>
        <v>84</v>
      </c>
      <c r="BR8" s="26">
        <f t="shared" si="21"/>
        <v>-96</v>
      </c>
    </row>
    <row r="9" ht="18.75" customHeight="1">
      <c r="A9" s="26" t="s">
        <v>28</v>
      </c>
      <c r="B9" s="29" t="s">
        <v>21</v>
      </c>
      <c r="C9" s="29" t="s">
        <v>21</v>
      </c>
      <c r="D9" s="29" t="s">
        <v>21</v>
      </c>
      <c r="E9" s="29" t="s">
        <v>21</v>
      </c>
      <c r="F9" s="28">
        <v>0.0</v>
      </c>
      <c r="G9" s="28">
        <v>0.0</v>
      </c>
      <c r="H9" s="28">
        <v>0.0</v>
      </c>
      <c r="I9" s="28">
        <v>0.0</v>
      </c>
      <c r="J9" s="28">
        <v>0.0</v>
      </c>
      <c r="K9" s="28">
        <f t="shared" si="11"/>
        <v>0</v>
      </c>
      <c r="L9" s="27" t="s">
        <v>16</v>
      </c>
      <c r="M9" s="27" t="s">
        <v>16</v>
      </c>
      <c r="N9" s="27" t="s">
        <v>16</v>
      </c>
      <c r="O9" s="29" t="s">
        <v>21</v>
      </c>
      <c r="P9" s="29" t="s">
        <v>21</v>
      </c>
      <c r="Q9" s="29" t="s">
        <v>21</v>
      </c>
      <c r="R9" s="29" t="s">
        <v>21</v>
      </c>
      <c r="S9" s="28">
        <v>0.0</v>
      </c>
      <c r="T9" s="28">
        <v>0.0</v>
      </c>
      <c r="U9" s="28">
        <v>0.0</v>
      </c>
      <c r="V9" s="28">
        <v>0.0</v>
      </c>
      <c r="W9" s="28">
        <v>0.0</v>
      </c>
      <c r="X9" s="28">
        <f t="shared" si="12"/>
        <v>0</v>
      </c>
      <c r="Y9" s="29" t="s">
        <v>21</v>
      </c>
      <c r="Z9" s="29" t="s">
        <v>21</v>
      </c>
      <c r="AA9" s="29" t="s">
        <v>21</v>
      </c>
      <c r="AB9" s="29" t="s">
        <v>21</v>
      </c>
      <c r="AC9" s="29" t="s">
        <v>21</v>
      </c>
      <c r="AD9" s="29" t="s">
        <v>21</v>
      </c>
      <c r="AE9" s="29" t="s">
        <v>21</v>
      </c>
      <c r="AF9" s="28">
        <v>0.0</v>
      </c>
      <c r="AG9" s="28">
        <v>0.0</v>
      </c>
      <c r="AH9" s="28">
        <v>0.0</v>
      </c>
      <c r="AI9" s="28">
        <v>0.0</v>
      </c>
      <c r="AJ9" s="28">
        <v>0.0</v>
      </c>
      <c r="AK9" s="28">
        <f t="shared" si="13"/>
        <v>0</v>
      </c>
      <c r="AL9" s="29" t="s">
        <v>21</v>
      </c>
      <c r="AM9" s="29" t="s">
        <v>21</v>
      </c>
      <c r="AN9" s="29" t="s">
        <v>21</v>
      </c>
      <c r="AO9" s="29" t="s">
        <v>21</v>
      </c>
      <c r="AP9" s="29" t="s">
        <v>21</v>
      </c>
      <c r="AQ9" s="29" t="s">
        <v>21</v>
      </c>
      <c r="AR9" s="29" t="s">
        <v>21</v>
      </c>
      <c r="AS9" s="28">
        <v>0.0</v>
      </c>
      <c r="AT9" s="28">
        <v>0.0</v>
      </c>
      <c r="AU9" s="28">
        <v>0.0</v>
      </c>
      <c r="AV9" s="28">
        <v>0.0</v>
      </c>
      <c r="AW9" s="28">
        <v>0.0</v>
      </c>
      <c r="AX9" s="28">
        <f t="shared" si="14"/>
        <v>0</v>
      </c>
      <c r="AY9" s="29" t="s">
        <v>21</v>
      </c>
      <c r="AZ9" s="29" t="s">
        <v>21</v>
      </c>
      <c r="BA9" s="29" t="s">
        <v>21</v>
      </c>
      <c r="BB9" s="29" t="s">
        <v>21</v>
      </c>
      <c r="BC9" s="29" t="s">
        <v>21</v>
      </c>
      <c r="BD9" s="29" t="s">
        <v>21</v>
      </c>
      <c r="BE9" s="28">
        <v>0.0</v>
      </c>
      <c r="BF9" s="28">
        <v>0.0</v>
      </c>
      <c r="BG9" s="28">
        <v>0.0</v>
      </c>
      <c r="BH9" s="28">
        <v>0.0</v>
      </c>
      <c r="BI9" s="28">
        <v>0.0</v>
      </c>
      <c r="BJ9" s="28">
        <f t="shared" si="15"/>
        <v>0</v>
      </c>
      <c r="BK9" s="28">
        <f t="shared" ref="BK9:BL9" si="24">SUM(F9,S9,AF9,AS9,BE9)</f>
        <v>0</v>
      </c>
      <c r="BL9" s="28">
        <f t="shared" si="24"/>
        <v>0</v>
      </c>
      <c r="BM9" s="28">
        <f t="shared" si="17"/>
        <v>0</v>
      </c>
      <c r="BN9" s="28">
        <f t="shared" ref="BN9:BO9" si="25">SUM(H9,U9,AH9,AU9,BG9)</f>
        <v>0</v>
      </c>
      <c r="BO9" s="28">
        <f t="shared" si="25"/>
        <v>0</v>
      </c>
      <c r="BP9" s="26">
        <f t="shared" si="19"/>
        <v>0</v>
      </c>
      <c r="BQ9" s="26">
        <f t="shared" si="20"/>
        <v>0</v>
      </c>
      <c r="BR9" s="26">
        <f t="shared" si="21"/>
        <v>-180</v>
      </c>
    </row>
    <row r="10" ht="18.75" customHeight="1">
      <c r="A10" s="26"/>
      <c r="B10" s="29"/>
      <c r="C10" s="29"/>
      <c r="D10" s="29"/>
      <c r="E10" s="29"/>
      <c r="F10" s="28"/>
      <c r="G10" s="28"/>
      <c r="H10" s="28"/>
      <c r="I10" s="28"/>
      <c r="J10" s="28"/>
      <c r="K10" s="28"/>
      <c r="L10" s="29"/>
      <c r="M10" s="29"/>
      <c r="N10" s="29"/>
      <c r="O10" s="29"/>
      <c r="P10" s="29"/>
      <c r="Q10" s="29"/>
      <c r="R10" s="29"/>
      <c r="S10" s="28"/>
      <c r="T10" s="28"/>
      <c r="U10" s="28"/>
      <c r="V10" s="28"/>
      <c r="W10" s="28"/>
      <c r="X10" s="28"/>
      <c r="Y10" s="29"/>
      <c r="Z10" s="29"/>
      <c r="AA10" s="29"/>
      <c r="AB10" s="29"/>
      <c r="AC10" s="29"/>
      <c r="AD10" s="29"/>
      <c r="AE10" s="29"/>
      <c r="AF10" s="28"/>
      <c r="AG10" s="28"/>
      <c r="AH10" s="28"/>
      <c r="AI10" s="28"/>
      <c r="AJ10" s="28"/>
      <c r="AK10" s="28"/>
      <c r="AL10" s="29"/>
      <c r="AM10" s="29"/>
      <c r="AN10" s="29"/>
      <c r="AO10" s="29"/>
      <c r="AP10" s="29"/>
      <c r="AQ10" s="29"/>
      <c r="AR10" s="29"/>
      <c r="AS10" s="28"/>
      <c r="AT10" s="28"/>
      <c r="AU10" s="28"/>
      <c r="AV10" s="28"/>
      <c r="AW10" s="28"/>
      <c r="AX10" s="28"/>
      <c r="AY10" s="29"/>
      <c r="AZ10" s="29"/>
      <c r="BA10" s="29"/>
      <c r="BB10" s="29"/>
      <c r="BC10" s="29"/>
      <c r="BD10" s="29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6"/>
      <c r="BQ10" s="28">
        <f>SUM(BQ6:BQ9)</f>
        <v>372</v>
      </c>
      <c r="BR10" s="26"/>
    </row>
    <row r="11">
      <c r="BK11" s="30"/>
      <c r="BL11" s="30"/>
      <c r="BM11" s="30"/>
      <c r="BN11" s="30"/>
      <c r="BO11" s="30"/>
      <c r="BP11" s="31" t="s">
        <v>29</v>
      </c>
      <c r="BQ11" s="32">
        <f>BQ5+BQ10</f>
        <v>720</v>
      </c>
      <c r="BR11" s="32"/>
    </row>
    <row r="12">
      <c r="A12" s="33" t="s">
        <v>30</v>
      </c>
      <c r="BK12" s="30"/>
      <c r="BL12" s="30"/>
      <c r="BM12" s="30"/>
      <c r="BN12" s="30"/>
      <c r="BO12" s="30"/>
    </row>
    <row r="13">
      <c r="A13" s="33" t="s">
        <v>31</v>
      </c>
      <c r="BK13" s="30"/>
      <c r="BL13" s="30"/>
      <c r="BM13" s="30"/>
      <c r="BN13" s="30"/>
      <c r="BO13" s="30"/>
    </row>
    <row r="14">
      <c r="A14" s="33" t="s">
        <v>32</v>
      </c>
      <c r="BK14" s="30"/>
      <c r="BL14" s="30"/>
      <c r="BM14" s="30"/>
      <c r="BN14" s="30"/>
      <c r="BO14" s="30"/>
    </row>
    <row r="15">
      <c r="BK15" s="30"/>
      <c r="BL15" s="30"/>
      <c r="BM15" s="30"/>
      <c r="BN15" s="30"/>
      <c r="BO15" s="30"/>
    </row>
    <row r="16">
      <c r="BK16" s="30"/>
      <c r="BL16" s="30"/>
      <c r="BM16" s="30"/>
      <c r="BN16" s="30"/>
      <c r="BO16" s="30"/>
    </row>
    <row r="17">
      <c r="BK17" s="30"/>
      <c r="BL17" s="30"/>
      <c r="BM17" s="30"/>
      <c r="BN17" s="30"/>
      <c r="BO17" s="30"/>
    </row>
    <row r="18">
      <c r="BK18" s="30"/>
      <c r="BL18" s="30"/>
      <c r="BM18" s="30"/>
      <c r="BN18" s="30"/>
      <c r="BO18" s="30"/>
    </row>
    <row r="19">
      <c r="BK19" s="30"/>
      <c r="BL19" s="30"/>
      <c r="BM19" s="30"/>
      <c r="BN19" s="30"/>
      <c r="BO19" s="30"/>
    </row>
    <row r="20">
      <c r="BK20" s="30"/>
      <c r="BL20" s="30"/>
      <c r="BM20" s="30"/>
      <c r="BN20" s="30"/>
      <c r="BO20" s="30"/>
    </row>
    <row r="21" ht="15.75" customHeight="1">
      <c r="BK21" s="30"/>
      <c r="BL21" s="30"/>
      <c r="BM21" s="30"/>
      <c r="BN21" s="30"/>
      <c r="BO21" s="30"/>
    </row>
    <row r="22" ht="15.75" customHeight="1">
      <c r="BK22" s="30"/>
      <c r="BL22" s="30"/>
      <c r="BM22" s="30"/>
      <c r="BN22" s="30"/>
      <c r="BO22" s="30"/>
    </row>
    <row r="23" ht="15.75" customHeight="1">
      <c r="BK23" s="30"/>
      <c r="BL23" s="30"/>
      <c r="BM23" s="30"/>
      <c r="BN23" s="30"/>
      <c r="BO23" s="30"/>
    </row>
    <row r="24" ht="15.75" customHeight="1">
      <c r="BK24" s="30"/>
      <c r="BL24" s="30"/>
      <c r="BM24" s="30"/>
      <c r="BN24" s="30"/>
      <c r="BO24" s="30"/>
    </row>
    <row r="25" ht="15.75" customHeight="1">
      <c r="BK25" s="30"/>
      <c r="BL25" s="30"/>
      <c r="BM25" s="30"/>
      <c r="BN25" s="30"/>
      <c r="BO25" s="30"/>
    </row>
    <row r="26" ht="15.75" customHeight="1">
      <c r="BK26" s="30"/>
      <c r="BL26" s="30"/>
      <c r="BM26" s="30"/>
      <c r="BN26" s="30"/>
      <c r="BO26" s="30"/>
    </row>
    <row r="27" ht="15.75" customHeight="1">
      <c r="BK27" s="30"/>
      <c r="BL27" s="30"/>
      <c r="BM27" s="30"/>
      <c r="BN27" s="30"/>
      <c r="BO27" s="30"/>
    </row>
    <row r="28" ht="15.75" customHeight="1">
      <c r="BK28" s="30"/>
      <c r="BL28" s="30"/>
      <c r="BM28" s="30"/>
      <c r="BN28" s="30"/>
      <c r="BO28" s="30"/>
    </row>
    <row r="29" ht="15.75" customHeight="1">
      <c r="BK29" s="30"/>
      <c r="BL29" s="30"/>
      <c r="BM29" s="30"/>
      <c r="BN29" s="30"/>
      <c r="BO29" s="30"/>
    </row>
    <row r="30" ht="15.75" customHeight="1">
      <c r="BK30" s="30"/>
      <c r="BL30" s="30"/>
      <c r="BM30" s="30"/>
      <c r="BN30" s="30"/>
      <c r="BO30" s="30"/>
    </row>
    <row r="31" ht="15.75" customHeight="1">
      <c r="BK31" s="30"/>
      <c r="BL31" s="30"/>
      <c r="BM31" s="30"/>
      <c r="BN31" s="30"/>
      <c r="BO31" s="30"/>
    </row>
    <row r="32" ht="15.75" customHeight="1">
      <c r="BK32" s="30"/>
      <c r="BL32" s="30"/>
      <c r="BM32" s="30"/>
      <c r="BN32" s="30"/>
      <c r="BO32" s="30"/>
    </row>
    <row r="33" ht="15.75" customHeight="1">
      <c r="BK33" s="30"/>
      <c r="BL33" s="30"/>
      <c r="BM33" s="30"/>
      <c r="BN33" s="30"/>
      <c r="BO33" s="30"/>
    </row>
    <row r="34" ht="15.75" customHeight="1">
      <c r="BK34" s="30"/>
      <c r="BL34" s="30"/>
      <c r="BM34" s="30"/>
      <c r="BN34" s="30"/>
      <c r="BO34" s="30"/>
    </row>
    <row r="35" ht="15.75" customHeight="1">
      <c r="BK35" s="30"/>
      <c r="BL35" s="30"/>
      <c r="BM35" s="30"/>
      <c r="BN35" s="30"/>
      <c r="BO35" s="30"/>
    </row>
    <row r="36" ht="15.75" customHeight="1">
      <c r="BK36" s="30"/>
      <c r="BL36" s="30"/>
      <c r="BM36" s="30"/>
      <c r="BN36" s="30"/>
      <c r="BO36" s="30"/>
    </row>
    <row r="37" ht="15.75" customHeight="1">
      <c r="BK37" s="30"/>
      <c r="BL37" s="30"/>
      <c r="BM37" s="30"/>
      <c r="BN37" s="30"/>
      <c r="BO37" s="30"/>
    </row>
    <row r="38" ht="15.75" customHeight="1">
      <c r="BK38" s="30"/>
      <c r="BL38" s="30"/>
      <c r="BM38" s="30"/>
      <c r="BN38" s="30"/>
      <c r="BO38" s="30"/>
    </row>
    <row r="39" ht="15.75" customHeight="1">
      <c r="BK39" s="30"/>
      <c r="BL39" s="30"/>
      <c r="BM39" s="30"/>
      <c r="BN39" s="30"/>
      <c r="BO39" s="30"/>
    </row>
    <row r="40" ht="15.75" customHeight="1">
      <c r="BK40" s="30"/>
      <c r="BL40" s="30"/>
      <c r="BM40" s="30"/>
      <c r="BN40" s="30"/>
      <c r="BO40" s="30"/>
    </row>
    <row r="41" ht="15.75" customHeight="1">
      <c r="BK41" s="30"/>
      <c r="BL41" s="30"/>
      <c r="BM41" s="30"/>
      <c r="BN41" s="30"/>
      <c r="BO41" s="30"/>
    </row>
    <row r="42" ht="15.75" customHeight="1">
      <c r="BK42" s="30"/>
      <c r="BL42" s="30"/>
      <c r="BM42" s="30"/>
      <c r="BN42" s="30"/>
      <c r="BO42" s="30"/>
    </row>
    <row r="43" ht="15.75" customHeight="1">
      <c r="BK43" s="30"/>
      <c r="BL43" s="30"/>
      <c r="BM43" s="30"/>
      <c r="BN43" s="30"/>
      <c r="BO43" s="30"/>
    </row>
    <row r="44" ht="15.75" customHeight="1">
      <c r="BK44" s="30"/>
      <c r="BL44" s="30"/>
      <c r="BM44" s="30"/>
      <c r="BN44" s="30"/>
      <c r="BO44" s="30"/>
    </row>
    <row r="45" ht="15.75" customHeight="1">
      <c r="BK45" s="30"/>
      <c r="BL45" s="30"/>
      <c r="BM45" s="30"/>
      <c r="BN45" s="30"/>
      <c r="BO45" s="30"/>
    </row>
    <row r="46" ht="15.75" customHeight="1">
      <c r="BK46" s="30"/>
      <c r="BL46" s="30"/>
      <c r="BM46" s="30"/>
      <c r="BN46" s="30"/>
      <c r="BO46" s="30"/>
    </row>
    <row r="47" ht="15.75" customHeight="1">
      <c r="BK47" s="30"/>
      <c r="BL47" s="30"/>
      <c r="BM47" s="30"/>
      <c r="BN47" s="30"/>
      <c r="BO47" s="30"/>
    </row>
    <row r="48" ht="15.75" customHeight="1">
      <c r="BK48" s="30"/>
      <c r="BL48" s="30"/>
      <c r="BM48" s="30"/>
      <c r="BN48" s="30"/>
      <c r="BO48" s="30"/>
    </row>
    <row r="49" ht="15.75" customHeight="1">
      <c r="BK49" s="30"/>
      <c r="BL49" s="30"/>
      <c r="BM49" s="30"/>
      <c r="BN49" s="30"/>
      <c r="BO49" s="30"/>
    </row>
    <row r="50" ht="15.75" customHeight="1">
      <c r="BK50" s="30"/>
      <c r="BL50" s="30"/>
      <c r="BM50" s="30"/>
      <c r="BN50" s="30"/>
      <c r="BO50" s="30"/>
    </row>
    <row r="51" ht="15.75" customHeight="1">
      <c r="BK51" s="30"/>
      <c r="BL51" s="30"/>
      <c r="BM51" s="30"/>
      <c r="BN51" s="30"/>
      <c r="BO51" s="30"/>
    </row>
    <row r="52" ht="15.75" customHeight="1">
      <c r="BK52" s="30"/>
      <c r="BL52" s="30"/>
      <c r="BM52" s="30"/>
      <c r="BN52" s="30"/>
      <c r="BO52" s="30"/>
    </row>
    <row r="53" ht="15.75" customHeight="1">
      <c r="BK53" s="30"/>
      <c r="BL53" s="30"/>
      <c r="BM53" s="30"/>
      <c r="BN53" s="30"/>
      <c r="BO53" s="30"/>
    </row>
    <row r="54" ht="15.75" customHeight="1">
      <c r="BK54" s="30"/>
      <c r="BL54" s="30"/>
      <c r="BM54" s="30"/>
      <c r="BN54" s="30"/>
      <c r="BO54" s="30"/>
    </row>
    <row r="55" ht="15.75" customHeight="1">
      <c r="BK55" s="30"/>
      <c r="BL55" s="30"/>
      <c r="BM55" s="30"/>
      <c r="BN55" s="30"/>
      <c r="BO55" s="30"/>
    </row>
    <row r="56" ht="15.75" customHeight="1">
      <c r="BK56" s="30"/>
      <c r="BL56" s="30"/>
      <c r="BM56" s="30"/>
      <c r="BN56" s="30"/>
      <c r="BO56" s="30"/>
    </row>
    <row r="57" ht="15.75" customHeight="1">
      <c r="BK57" s="30"/>
      <c r="BL57" s="30"/>
      <c r="BM57" s="30"/>
      <c r="BN57" s="30"/>
      <c r="BO57" s="30"/>
    </row>
    <row r="58" ht="15.75" customHeight="1">
      <c r="BK58" s="30"/>
      <c r="BL58" s="30"/>
      <c r="BM58" s="30"/>
      <c r="BN58" s="30"/>
      <c r="BO58" s="30"/>
    </row>
    <row r="59" ht="15.75" customHeight="1">
      <c r="BK59" s="30"/>
      <c r="BL59" s="30"/>
      <c r="BM59" s="30"/>
      <c r="BN59" s="30"/>
      <c r="BO59" s="30"/>
    </row>
    <row r="60" ht="15.75" customHeight="1">
      <c r="BK60" s="30"/>
      <c r="BL60" s="30"/>
      <c r="BM60" s="30"/>
      <c r="BN60" s="30"/>
      <c r="BO60" s="30"/>
    </row>
    <row r="61" ht="15.75" customHeight="1">
      <c r="BK61" s="30"/>
      <c r="BL61" s="30"/>
      <c r="BM61" s="30"/>
      <c r="BN61" s="30"/>
      <c r="BO61" s="30"/>
    </row>
    <row r="62" ht="15.75" customHeight="1">
      <c r="BK62" s="30"/>
      <c r="BL62" s="30"/>
      <c r="BM62" s="30"/>
      <c r="BN62" s="30"/>
      <c r="BO62" s="30"/>
    </row>
    <row r="63" ht="15.75" customHeight="1">
      <c r="BK63" s="30"/>
      <c r="BL63" s="30"/>
      <c r="BM63" s="30"/>
      <c r="BN63" s="30"/>
      <c r="BO63" s="30"/>
    </row>
    <row r="64" ht="15.75" customHeight="1">
      <c r="BK64" s="30"/>
      <c r="BL64" s="30"/>
      <c r="BM64" s="30"/>
      <c r="BN64" s="30"/>
      <c r="BO64" s="30"/>
    </row>
    <row r="65" ht="15.75" customHeight="1">
      <c r="BK65" s="30"/>
      <c r="BL65" s="30"/>
      <c r="BM65" s="30"/>
      <c r="BN65" s="30"/>
      <c r="BO65" s="30"/>
    </row>
    <row r="66" ht="15.75" customHeight="1">
      <c r="BK66" s="30"/>
      <c r="BL66" s="30"/>
      <c r="BM66" s="30"/>
      <c r="BN66" s="30"/>
      <c r="BO66" s="30"/>
    </row>
    <row r="67" ht="15.75" customHeight="1">
      <c r="BK67" s="30"/>
      <c r="BL67" s="30"/>
      <c r="BM67" s="30"/>
      <c r="BN67" s="30"/>
      <c r="BO67" s="30"/>
    </row>
    <row r="68" ht="15.75" customHeight="1">
      <c r="BK68" s="30"/>
      <c r="BL68" s="30"/>
      <c r="BM68" s="30"/>
      <c r="BN68" s="30"/>
      <c r="BO68" s="30"/>
    </row>
    <row r="69" ht="15.75" customHeight="1">
      <c r="BK69" s="30"/>
      <c r="BL69" s="30"/>
      <c r="BM69" s="30"/>
      <c r="BN69" s="30"/>
      <c r="BO69" s="30"/>
    </row>
    <row r="70" ht="15.75" customHeight="1">
      <c r="BK70" s="30"/>
      <c r="BL70" s="30"/>
      <c r="BM70" s="30"/>
      <c r="BN70" s="30"/>
      <c r="BO70" s="30"/>
    </row>
    <row r="71" ht="15.75" customHeight="1">
      <c r="BK71" s="30"/>
      <c r="BL71" s="30"/>
      <c r="BM71" s="30"/>
      <c r="BN71" s="30"/>
      <c r="BO71" s="30"/>
    </row>
    <row r="72" ht="15.75" customHeight="1">
      <c r="BK72" s="30"/>
      <c r="BL72" s="30"/>
      <c r="BM72" s="30"/>
      <c r="BN72" s="30"/>
      <c r="BO72" s="30"/>
    </row>
    <row r="73" ht="15.75" customHeight="1">
      <c r="BK73" s="30"/>
      <c r="BL73" s="30"/>
      <c r="BM73" s="30"/>
      <c r="BN73" s="30"/>
      <c r="BO73" s="30"/>
    </row>
    <row r="74" ht="15.75" customHeight="1">
      <c r="BK74" s="30"/>
      <c r="BL74" s="30"/>
      <c r="BM74" s="30"/>
      <c r="BN74" s="30"/>
      <c r="BO74" s="30"/>
    </row>
    <row r="75" ht="15.75" customHeight="1">
      <c r="BK75" s="30"/>
      <c r="BL75" s="30"/>
      <c r="BM75" s="30"/>
      <c r="BN75" s="30"/>
      <c r="BO75" s="30"/>
    </row>
    <row r="76" ht="15.75" customHeight="1">
      <c r="BK76" s="30"/>
      <c r="BL76" s="30"/>
      <c r="BM76" s="30"/>
      <c r="BN76" s="30"/>
      <c r="BO76" s="30"/>
    </row>
    <row r="77" ht="15.75" customHeight="1">
      <c r="BK77" s="30"/>
      <c r="BL77" s="30"/>
      <c r="BM77" s="30"/>
      <c r="BN77" s="30"/>
      <c r="BO77" s="30"/>
    </row>
    <row r="78" ht="15.75" customHeight="1">
      <c r="BK78" s="30"/>
      <c r="BL78" s="30"/>
      <c r="BM78" s="30"/>
      <c r="BN78" s="30"/>
      <c r="BO78" s="30"/>
    </row>
    <row r="79" ht="15.75" customHeight="1">
      <c r="BK79" s="30"/>
      <c r="BL79" s="30"/>
      <c r="BM79" s="30"/>
      <c r="BN79" s="30"/>
      <c r="BO79" s="30"/>
    </row>
    <row r="80" ht="15.75" customHeight="1">
      <c r="BK80" s="30"/>
      <c r="BL80" s="30"/>
      <c r="BM80" s="30"/>
      <c r="BN80" s="30"/>
      <c r="BO80" s="30"/>
    </row>
    <row r="81" ht="15.75" customHeight="1">
      <c r="BK81" s="30"/>
      <c r="BL81" s="30"/>
      <c r="BM81" s="30"/>
      <c r="BN81" s="30"/>
      <c r="BO81" s="30"/>
    </row>
    <row r="82" ht="15.75" customHeight="1">
      <c r="BK82" s="30"/>
      <c r="BL82" s="30"/>
      <c r="BM82" s="30"/>
      <c r="BN82" s="30"/>
      <c r="BO82" s="30"/>
    </row>
    <row r="83" ht="15.75" customHeight="1">
      <c r="BK83" s="30"/>
      <c r="BL83" s="30"/>
      <c r="BM83" s="30"/>
      <c r="BN83" s="30"/>
      <c r="BO83" s="30"/>
    </row>
    <row r="84" ht="15.75" customHeight="1">
      <c r="BK84" s="30"/>
      <c r="BL84" s="30"/>
      <c r="BM84" s="30"/>
      <c r="BN84" s="30"/>
      <c r="BO84" s="30"/>
    </row>
    <row r="85" ht="15.75" customHeight="1">
      <c r="BK85" s="30"/>
      <c r="BL85" s="30"/>
      <c r="BM85" s="30"/>
      <c r="BN85" s="30"/>
      <c r="BO85" s="30"/>
    </row>
    <row r="86" ht="15.75" customHeight="1">
      <c r="BK86" s="30"/>
      <c r="BL86" s="30"/>
      <c r="BM86" s="30"/>
      <c r="BN86" s="30"/>
      <c r="BO86" s="30"/>
    </row>
    <row r="87" ht="15.75" customHeight="1">
      <c r="BK87" s="30"/>
      <c r="BL87" s="30"/>
      <c r="BM87" s="30"/>
      <c r="BN87" s="30"/>
      <c r="BO87" s="30"/>
    </row>
    <row r="88" ht="15.75" customHeight="1">
      <c r="BK88" s="30"/>
      <c r="BL88" s="30"/>
      <c r="BM88" s="30"/>
      <c r="BN88" s="30"/>
      <c r="BO88" s="30"/>
    </row>
    <row r="89" ht="15.75" customHeight="1">
      <c r="BK89" s="30"/>
      <c r="BL89" s="30"/>
      <c r="BM89" s="30"/>
      <c r="BN89" s="30"/>
      <c r="BO89" s="30"/>
    </row>
    <row r="90" ht="15.75" customHeight="1">
      <c r="BK90" s="30"/>
      <c r="BL90" s="30"/>
      <c r="BM90" s="30"/>
      <c r="BN90" s="30"/>
      <c r="BO90" s="30"/>
    </row>
    <row r="91" ht="15.75" customHeight="1">
      <c r="BK91" s="30"/>
      <c r="BL91" s="30"/>
      <c r="BM91" s="30"/>
      <c r="BN91" s="30"/>
      <c r="BO91" s="30"/>
    </row>
    <row r="92" ht="15.75" customHeight="1">
      <c r="BK92" s="30"/>
      <c r="BL92" s="30"/>
      <c r="BM92" s="30"/>
      <c r="BN92" s="30"/>
      <c r="BO92" s="30"/>
    </row>
    <row r="93" ht="15.75" customHeight="1">
      <c r="BK93" s="30"/>
      <c r="BL93" s="30"/>
      <c r="BM93" s="30"/>
      <c r="BN93" s="30"/>
      <c r="BO93" s="30"/>
    </row>
    <row r="94" ht="15.75" customHeight="1">
      <c r="BK94" s="30"/>
      <c r="BL94" s="30"/>
      <c r="BM94" s="30"/>
      <c r="BN94" s="30"/>
      <c r="BO94" s="30"/>
    </row>
    <row r="95" ht="15.75" customHeight="1">
      <c r="BK95" s="30"/>
      <c r="BL95" s="30"/>
      <c r="BM95" s="30"/>
      <c r="BN95" s="30"/>
      <c r="BO95" s="30"/>
    </row>
    <row r="96" ht="15.75" customHeight="1">
      <c r="BK96" s="30"/>
      <c r="BL96" s="30"/>
      <c r="BM96" s="30"/>
      <c r="BN96" s="30"/>
      <c r="BO96" s="30"/>
    </row>
    <row r="97" ht="15.75" customHeight="1">
      <c r="BK97" s="30"/>
      <c r="BL97" s="30"/>
      <c r="BM97" s="30"/>
      <c r="BN97" s="30"/>
      <c r="BO97" s="30"/>
    </row>
    <row r="98" ht="15.75" customHeight="1">
      <c r="BK98" s="30"/>
      <c r="BL98" s="30"/>
      <c r="BM98" s="30"/>
      <c r="BN98" s="30"/>
      <c r="BO98" s="30"/>
    </row>
    <row r="99" ht="15.75" customHeight="1">
      <c r="BK99" s="30"/>
      <c r="BL99" s="30"/>
      <c r="BM99" s="30"/>
      <c r="BN99" s="30"/>
      <c r="BO99" s="30"/>
    </row>
    <row r="100" ht="15.75" customHeight="1">
      <c r="BK100" s="30"/>
      <c r="BL100" s="30"/>
      <c r="BM100" s="30"/>
      <c r="BN100" s="30"/>
      <c r="BO100" s="30"/>
    </row>
    <row r="101" ht="15.75" customHeight="1">
      <c r="BK101" s="30"/>
      <c r="BL101" s="30"/>
      <c r="BM101" s="30"/>
      <c r="BN101" s="30"/>
      <c r="BO101" s="30"/>
    </row>
    <row r="102" ht="15.75" customHeight="1">
      <c r="BK102" s="30"/>
      <c r="BL102" s="30"/>
      <c r="BM102" s="30"/>
      <c r="BN102" s="30"/>
      <c r="BO102" s="30"/>
    </row>
    <row r="103" ht="15.75" customHeight="1">
      <c r="BK103" s="30"/>
      <c r="BL103" s="30"/>
      <c r="BM103" s="30"/>
      <c r="BN103" s="30"/>
      <c r="BO103" s="30"/>
    </row>
    <row r="104" ht="15.75" customHeight="1">
      <c r="BK104" s="30"/>
      <c r="BL104" s="30"/>
      <c r="BM104" s="30"/>
      <c r="BN104" s="30"/>
      <c r="BO104" s="30"/>
    </row>
    <row r="105" ht="15.75" customHeight="1">
      <c r="BK105" s="30"/>
      <c r="BL105" s="30"/>
      <c r="BM105" s="30"/>
      <c r="BN105" s="30"/>
      <c r="BO105" s="30"/>
    </row>
    <row r="106" ht="15.75" customHeight="1">
      <c r="BK106" s="30"/>
      <c r="BL106" s="30"/>
      <c r="BM106" s="30"/>
      <c r="BN106" s="30"/>
      <c r="BO106" s="30"/>
    </row>
    <row r="107" ht="15.75" customHeight="1">
      <c r="BK107" s="30"/>
      <c r="BL107" s="30"/>
      <c r="BM107" s="30"/>
      <c r="BN107" s="30"/>
      <c r="BO107" s="30"/>
    </row>
    <row r="108" ht="15.75" customHeight="1">
      <c r="BK108" s="30"/>
      <c r="BL108" s="30"/>
      <c r="BM108" s="30"/>
      <c r="BN108" s="30"/>
      <c r="BO108" s="30"/>
    </row>
    <row r="109" ht="15.75" customHeight="1">
      <c r="BK109" s="30"/>
      <c r="BL109" s="30"/>
      <c r="BM109" s="30"/>
      <c r="BN109" s="30"/>
      <c r="BO109" s="30"/>
    </row>
    <row r="110" ht="15.75" customHeight="1">
      <c r="BK110" s="30"/>
      <c r="BL110" s="30"/>
      <c r="BM110" s="30"/>
      <c r="BN110" s="30"/>
      <c r="BO110" s="30"/>
    </row>
    <row r="111" ht="15.75" customHeight="1">
      <c r="BK111" s="30"/>
      <c r="BL111" s="30"/>
      <c r="BM111" s="30"/>
      <c r="BN111" s="30"/>
      <c r="BO111" s="30"/>
    </row>
    <row r="112" ht="15.75" customHeight="1">
      <c r="BK112" s="30"/>
      <c r="BL112" s="30"/>
      <c r="BM112" s="30"/>
      <c r="BN112" s="30"/>
      <c r="BO112" s="30"/>
    </row>
    <row r="113" ht="15.75" customHeight="1">
      <c r="BK113" s="30"/>
      <c r="BL113" s="30"/>
      <c r="BM113" s="30"/>
      <c r="BN113" s="30"/>
      <c r="BO113" s="30"/>
    </row>
    <row r="114" ht="15.75" customHeight="1">
      <c r="BK114" s="30"/>
      <c r="BL114" s="30"/>
      <c r="BM114" s="30"/>
      <c r="BN114" s="30"/>
      <c r="BO114" s="30"/>
    </row>
    <row r="115" ht="15.75" customHeight="1">
      <c r="BK115" s="30"/>
      <c r="BL115" s="30"/>
      <c r="BM115" s="30"/>
      <c r="BN115" s="30"/>
      <c r="BO115" s="30"/>
    </row>
    <row r="116" ht="15.75" customHeight="1">
      <c r="BK116" s="30"/>
      <c r="BL116" s="30"/>
      <c r="BM116" s="30"/>
      <c r="BN116" s="30"/>
      <c r="BO116" s="30"/>
    </row>
    <row r="117" ht="15.75" customHeight="1">
      <c r="BK117" s="30"/>
      <c r="BL117" s="30"/>
      <c r="BM117" s="30"/>
      <c r="BN117" s="30"/>
      <c r="BO117" s="30"/>
    </row>
    <row r="118" ht="15.75" customHeight="1">
      <c r="BK118" s="30"/>
      <c r="BL118" s="30"/>
      <c r="BM118" s="30"/>
      <c r="BN118" s="30"/>
      <c r="BO118" s="30"/>
    </row>
    <row r="119" ht="15.75" customHeight="1">
      <c r="BK119" s="30"/>
      <c r="BL119" s="30"/>
      <c r="BM119" s="30"/>
      <c r="BN119" s="30"/>
      <c r="BO119" s="30"/>
    </row>
    <row r="120" ht="15.75" customHeight="1">
      <c r="BK120" s="30"/>
      <c r="BL120" s="30"/>
      <c r="BM120" s="30"/>
      <c r="BN120" s="30"/>
      <c r="BO120" s="30"/>
    </row>
    <row r="121" ht="15.75" customHeight="1">
      <c r="BK121" s="30"/>
      <c r="BL121" s="30"/>
      <c r="BM121" s="30"/>
      <c r="BN121" s="30"/>
      <c r="BO121" s="30"/>
    </row>
    <row r="122" ht="15.75" customHeight="1">
      <c r="BK122" s="30"/>
      <c r="BL122" s="30"/>
      <c r="BM122" s="30"/>
      <c r="BN122" s="30"/>
      <c r="BO122" s="30"/>
    </row>
    <row r="123" ht="15.75" customHeight="1">
      <c r="BK123" s="30"/>
      <c r="BL123" s="30"/>
      <c r="BM123" s="30"/>
      <c r="BN123" s="30"/>
      <c r="BO123" s="30"/>
    </row>
    <row r="124" ht="15.75" customHeight="1">
      <c r="BK124" s="30"/>
      <c r="BL124" s="30"/>
      <c r="BM124" s="30"/>
      <c r="BN124" s="30"/>
      <c r="BO124" s="30"/>
    </row>
    <row r="125" ht="15.75" customHeight="1">
      <c r="BK125" s="30"/>
      <c r="BL125" s="30"/>
      <c r="BM125" s="30"/>
      <c r="BN125" s="30"/>
      <c r="BO125" s="30"/>
    </row>
    <row r="126" ht="15.75" customHeight="1">
      <c r="BK126" s="30"/>
      <c r="BL126" s="30"/>
      <c r="BM126" s="30"/>
      <c r="BN126" s="30"/>
      <c r="BO126" s="30"/>
    </row>
    <row r="127" ht="15.75" customHeight="1">
      <c r="BK127" s="30"/>
      <c r="BL127" s="30"/>
      <c r="BM127" s="30"/>
      <c r="BN127" s="30"/>
      <c r="BO127" s="30"/>
    </row>
    <row r="128" ht="15.75" customHeight="1">
      <c r="BK128" s="30"/>
      <c r="BL128" s="30"/>
      <c r="BM128" s="30"/>
      <c r="BN128" s="30"/>
      <c r="BO128" s="30"/>
    </row>
    <row r="129" ht="15.75" customHeight="1">
      <c r="BK129" s="30"/>
      <c r="BL129" s="30"/>
      <c r="BM129" s="30"/>
      <c r="BN129" s="30"/>
      <c r="BO129" s="30"/>
    </row>
    <row r="130" ht="15.75" customHeight="1">
      <c r="BK130" s="30"/>
      <c r="BL130" s="30"/>
      <c r="BM130" s="30"/>
      <c r="BN130" s="30"/>
      <c r="BO130" s="30"/>
    </row>
    <row r="131" ht="15.75" customHeight="1">
      <c r="BK131" s="30"/>
      <c r="BL131" s="30"/>
      <c r="BM131" s="30"/>
      <c r="BN131" s="30"/>
      <c r="BO131" s="30"/>
    </row>
    <row r="132" ht="15.75" customHeight="1">
      <c r="BK132" s="30"/>
      <c r="BL132" s="30"/>
      <c r="BM132" s="30"/>
      <c r="BN132" s="30"/>
      <c r="BO132" s="30"/>
    </row>
    <row r="133" ht="15.75" customHeight="1">
      <c r="BK133" s="30"/>
      <c r="BL133" s="30"/>
      <c r="BM133" s="30"/>
      <c r="BN133" s="30"/>
      <c r="BO133" s="30"/>
    </row>
    <row r="134" ht="15.75" customHeight="1">
      <c r="BK134" s="30"/>
      <c r="BL134" s="30"/>
      <c r="BM134" s="30"/>
      <c r="BN134" s="30"/>
      <c r="BO134" s="30"/>
    </row>
    <row r="135" ht="15.75" customHeight="1">
      <c r="BK135" s="30"/>
      <c r="BL135" s="30"/>
      <c r="BM135" s="30"/>
      <c r="BN135" s="30"/>
      <c r="BO135" s="30"/>
    </row>
    <row r="136" ht="15.75" customHeight="1">
      <c r="BK136" s="30"/>
      <c r="BL136" s="30"/>
      <c r="BM136" s="30"/>
      <c r="BN136" s="30"/>
      <c r="BO136" s="30"/>
    </row>
    <row r="137" ht="15.75" customHeight="1">
      <c r="BK137" s="30"/>
      <c r="BL137" s="30"/>
      <c r="BM137" s="30"/>
      <c r="BN137" s="30"/>
      <c r="BO137" s="30"/>
    </row>
    <row r="138" ht="15.75" customHeight="1">
      <c r="BK138" s="30"/>
      <c r="BL138" s="30"/>
      <c r="BM138" s="30"/>
      <c r="BN138" s="30"/>
      <c r="BO138" s="30"/>
    </row>
    <row r="139" ht="15.75" customHeight="1">
      <c r="BK139" s="30"/>
      <c r="BL139" s="30"/>
      <c r="BM139" s="30"/>
      <c r="BN139" s="30"/>
      <c r="BO139" s="30"/>
    </row>
    <row r="140" ht="15.75" customHeight="1">
      <c r="BK140" s="30"/>
      <c r="BL140" s="30"/>
      <c r="BM140" s="30"/>
      <c r="BN140" s="30"/>
      <c r="BO140" s="30"/>
    </row>
    <row r="141" ht="15.75" customHeight="1">
      <c r="BK141" s="30"/>
      <c r="BL141" s="30"/>
      <c r="BM141" s="30"/>
      <c r="BN141" s="30"/>
      <c r="BO141" s="30"/>
    </row>
    <row r="142" ht="15.75" customHeight="1">
      <c r="BK142" s="30"/>
      <c r="BL142" s="30"/>
      <c r="BM142" s="30"/>
      <c r="BN142" s="30"/>
      <c r="BO142" s="30"/>
    </row>
    <row r="143" ht="15.75" customHeight="1">
      <c r="BK143" s="30"/>
      <c r="BL143" s="30"/>
      <c r="BM143" s="30"/>
      <c r="BN143" s="30"/>
      <c r="BO143" s="30"/>
    </row>
    <row r="144" ht="15.75" customHeight="1">
      <c r="BK144" s="30"/>
      <c r="BL144" s="30"/>
      <c r="BM144" s="30"/>
      <c r="BN144" s="30"/>
      <c r="BO144" s="30"/>
    </row>
    <row r="145" ht="15.75" customHeight="1">
      <c r="BK145" s="30"/>
      <c r="BL145" s="30"/>
      <c r="BM145" s="30"/>
      <c r="BN145" s="30"/>
      <c r="BO145" s="30"/>
    </row>
    <row r="146" ht="15.75" customHeight="1">
      <c r="BK146" s="30"/>
      <c r="BL146" s="30"/>
      <c r="BM146" s="30"/>
      <c r="BN146" s="30"/>
      <c r="BO146" s="30"/>
    </row>
    <row r="147" ht="15.75" customHeight="1">
      <c r="BK147" s="30"/>
      <c r="BL147" s="30"/>
      <c r="BM147" s="30"/>
      <c r="BN147" s="30"/>
      <c r="BO147" s="30"/>
    </row>
    <row r="148" ht="15.75" customHeight="1">
      <c r="BK148" s="30"/>
      <c r="BL148" s="30"/>
      <c r="BM148" s="30"/>
      <c r="BN148" s="30"/>
      <c r="BO148" s="30"/>
    </row>
    <row r="149" ht="15.75" customHeight="1">
      <c r="BK149" s="30"/>
      <c r="BL149" s="30"/>
      <c r="BM149" s="30"/>
      <c r="BN149" s="30"/>
      <c r="BO149" s="30"/>
    </row>
    <row r="150" ht="15.75" customHeight="1">
      <c r="BK150" s="30"/>
      <c r="BL150" s="30"/>
      <c r="BM150" s="30"/>
      <c r="BN150" s="30"/>
      <c r="BO150" s="30"/>
    </row>
    <row r="151" ht="15.75" customHeight="1">
      <c r="BK151" s="30"/>
      <c r="BL151" s="30"/>
      <c r="BM151" s="30"/>
      <c r="BN151" s="30"/>
      <c r="BO151" s="30"/>
    </row>
    <row r="152" ht="15.75" customHeight="1">
      <c r="BK152" s="30"/>
      <c r="BL152" s="30"/>
      <c r="BM152" s="30"/>
      <c r="BN152" s="30"/>
      <c r="BO152" s="30"/>
    </row>
    <row r="153" ht="15.75" customHeight="1">
      <c r="BK153" s="30"/>
      <c r="BL153" s="30"/>
      <c r="BM153" s="30"/>
      <c r="BN153" s="30"/>
      <c r="BO153" s="30"/>
    </row>
    <row r="154" ht="15.75" customHeight="1">
      <c r="BK154" s="30"/>
      <c r="BL154" s="30"/>
      <c r="BM154" s="30"/>
      <c r="BN154" s="30"/>
      <c r="BO154" s="30"/>
    </row>
    <row r="155" ht="15.75" customHeight="1">
      <c r="BK155" s="30"/>
      <c r="BL155" s="30"/>
      <c r="BM155" s="30"/>
      <c r="BN155" s="30"/>
      <c r="BO155" s="30"/>
    </row>
    <row r="156" ht="15.75" customHeight="1">
      <c r="BK156" s="30"/>
      <c r="BL156" s="30"/>
      <c r="BM156" s="30"/>
      <c r="BN156" s="30"/>
      <c r="BO156" s="30"/>
    </row>
    <row r="157" ht="15.75" customHeight="1">
      <c r="BK157" s="30"/>
      <c r="BL157" s="30"/>
      <c r="BM157" s="30"/>
      <c r="BN157" s="30"/>
      <c r="BO157" s="30"/>
    </row>
    <row r="158" ht="15.75" customHeight="1">
      <c r="BK158" s="30"/>
      <c r="BL158" s="30"/>
      <c r="BM158" s="30"/>
      <c r="BN158" s="30"/>
      <c r="BO158" s="30"/>
    </row>
    <row r="159" ht="15.75" customHeight="1">
      <c r="BK159" s="30"/>
      <c r="BL159" s="30"/>
      <c r="BM159" s="30"/>
      <c r="BN159" s="30"/>
      <c r="BO159" s="30"/>
    </row>
    <row r="160" ht="15.75" customHeight="1">
      <c r="BK160" s="30"/>
      <c r="BL160" s="30"/>
      <c r="BM160" s="30"/>
      <c r="BN160" s="30"/>
      <c r="BO160" s="30"/>
    </row>
    <row r="161" ht="15.75" customHeight="1">
      <c r="BK161" s="30"/>
      <c r="BL161" s="30"/>
      <c r="BM161" s="30"/>
      <c r="BN161" s="30"/>
      <c r="BO161" s="30"/>
    </row>
    <row r="162" ht="15.75" customHeight="1">
      <c r="BK162" s="30"/>
      <c r="BL162" s="30"/>
      <c r="BM162" s="30"/>
      <c r="BN162" s="30"/>
      <c r="BO162" s="30"/>
    </row>
    <row r="163" ht="15.75" customHeight="1">
      <c r="BK163" s="30"/>
      <c r="BL163" s="30"/>
      <c r="BM163" s="30"/>
      <c r="BN163" s="30"/>
      <c r="BO163" s="30"/>
    </row>
    <row r="164" ht="15.75" customHeight="1">
      <c r="BK164" s="30"/>
      <c r="BL164" s="30"/>
      <c r="BM164" s="30"/>
      <c r="BN164" s="30"/>
      <c r="BO164" s="30"/>
    </row>
    <row r="165" ht="15.75" customHeight="1">
      <c r="BK165" s="30"/>
      <c r="BL165" s="30"/>
      <c r="BM165" s="30"/>
      <c r="BN165" s="30"/>
      <c r="BO165" s="30"/>
    </row>
    <row r="166" ht="15.75" customHeight="1">
      <c r="BK166" s="30"/>
      <c r="BL166" s="30"/>
      <c r="BM166" s="30"/>
      <c r="BN166" s="30"/>
      <c r="BO166" s="30"/>
    </row>
    <row r="167" ht="15.75" customHeight="1">
      <c r="BK167" s="30"/>
      <c r="BL167" s="30"/>
      <c r="BM167" s="30"/>
      <c r="BN167" s="30"/>
      <c r="BO167" s="30"/>
    </row>
    <row r="168" ht="15.75" customHeight="1">
      <c r="BK168" s="30"/>
      <c r="BL168" s="30"/>
      <c r="BM168" s="30"/>
      <c r="BN168" s="30"/>
      <c r="BO168" s="30"/>
    </row>
    <row r="169" ht="15.75" customHeight="1">
      <c r="BK169" s="30"/>
      <c r="BL169" s="30"/>
      <c r="BM169" s="30"/>
      <c r="BN169" s="30"/>
      <c r="BO169" s="30"/>
    </row>
    <row r="170" ht="15.75" customHeight="1">
      <c r="BK170" s="30"/>
      <c r="BL170" s="30"/>
      <c r="BM170" s="30"/>
      <c r="BN170" s="30"/>
      <c r="BO170" s="30"/>
    </row>
    <row r="171" ht="15.75" customHeight="1">
      <c r="BK171" s="30"/>
      <c r="BL171" s="30"/>
      <c r="BM171" s="30"/>
      <c r="BN171" s="30"/>
      <c r="BO171" s="30"/>
    </row>
    <row r="172" ht="15.75" customHeight="1">
      <c r="BK172" s="30"/>
      <c r="BL172" s="30"/>
      <c r="BM172" s="30"/>
      <c r="BN172" s="30"/>
      <c r="BO172" s="30"/>
    </row>
    <row r="173" ht="15.75" customHeight="1">
      <c r="BK173" s="30"/>
      <c r="BL173" s="30"/>
      <c r="BM173" s="30"/>
      <c r="BN173" s="30"/>
      <c r="BO173" s="30"/>
    </row>
    <row r="174" ht="15.75" customHeight="1">
      <c r="BK174" s="30"/>
      <c r="BL174" s="30"/>
      <c r="BM174" s="30"/>
      <c r="BN174" s="30"/>
      <c r="BO174" s="30"/>
    </row>
    <row r="175" ht="15.75" customHeight="1">
      <c r="BK175" s="30"/>
      <c r="BL175" s="30"/>
      <c r="BM175" s="30"/>
      <c r="BN175" s="30"/>
      <c r="BO175" s="30"/>
    </row>
    <row r="176" ht="15.75" customHeight="1">
      <c r="BK176" s="30"/>
      <c r="BL176" s="30"/>
      <c r="BM176" s="30"/>
      <c r="BN176" s="30"/>
      <c r="BO176" s="30"/>
    </row>
    <row r="177" ht="15.75" customHeight="1">
      <c r="BK177" s="30"/>
      <c r="BL177" s="30"/>
      <c r="BM177" s="30"/>
      <c r="BN177" s="30"/>
      <c r="BO177" s="30"/>
    </row>
    <row r="178" ht="15.75" customHeight="1">
      <c r="BK178" s="30"/>
      <c r="BL178" s="30"/>
      <c r="BM178" s="30"/>
      <c r="BN178" s="30"/>
      <c r="BO178" s="30"/>
    </row>
    <row r="179" ht="15.75" customHeight="1">
      <c r="BK179" s="30"/>
      <c r="BL179" s="30"/>
      <c r="BM179" s="30"/>
      <c r="BN179" s="30"/>
      <c r="BO179" s="30"/>
    </row>
    <row r="180" ht="15.75" customHeight="1">
      <c r="BK180" s="30"/>
      <c r="BL180" s="30"/>
      <c r="BM180" s="30"/>
      <c r="BN180" s="30"/>
      <c r="BO180" s="30"/>
    </row>
    <row r="181" ht="15.75" customHeight="1">
      <c r="BK181" s="30"/>
      <c r="BL181" s="30"/>
      <c r="BM181" s="30"/>
      <c r="BN181" s="30"/>
      <c r="BO181" s="30"/>
    </row>
    <row r="182" ht="15.75" customHeight="1">
      <c r="BK182" s="30"/>
      <c r="BL182" s="30"/>
      <c r="BM182" s="30"/>
      <c r="BN182" s="30"/>
      <c r="BO182" s="30"/>
    </row>
    <row r="183" ht="15.75" customHeight="1">
      <c r="BK183" s="30"/>
      <c r="BL183" s="30"/>
      <c r="BM183" s="30"/>
      <c r="BN183" s="30"/>
      <c r="BO183" s="30"/>
    </row>
    <row r="184" ht="15.75" customHeight="1">
      <c r="BK184" s="30"/>
      <c r="BL184" s="30"/>
      <c r="BM184" s="30"/>
      <c r="BN184" s="30"/>
      <c r="BO184" s="30"/>
    </row>
    <row r="185" ht="15.75" customHeight="1">
      <c r="BK185" s="30"/>
      <c r="BL185" s="30"/>
      <c r="BM185" s="30"/>
      <c r="BN185" s="30"/>
      <c r="BO185" s="30"/>
    </row>
    <row r="186" ht="15.75" customHeight="1">
      <c r="BK186" s="30"/>
      <c r="BL186" s="30"/>
      <c r="BM186" s="30"/>
      <c r="BN186" s="30"/>
      <c r="BO186" s="30"/>
    </row>
    <row r="187" ht="15.75" customHeight="1">
      <c r="BK187" s="30"/>
      <c r="BL187" s="30"/>
      <c r="BM187" s="30"/>
      <c r="BN187" s="30"/>
      <c r="BO187" s="30"/>
    </row>
    <row r="188" ht="15.75" customHeight="1">
      <c r="BK188" s="30"/>
      <c r="BL188" s="30"/>
      <c r="BM188" s="30"/>
      <c r="BN188" s="30"/>
      <c r="BO188" s="30"/>
    </row>
    <row r="189" ht="15.75" customHeight="1">
      <c r="BK189" s="30"/>
      <c r="BL189" s="30"/>
      <c r="BM189" s="30"/>
      <c r="BN189" s="30"/>
      <c r="BO189" s="30"/>
    </row>
    <row r="190" ht="15.75" customHeight="1">
      <c r="BK190" s="30"/>
      <c r="BL190" s="30"/>
      <c r="BM190" s="30"/>
      <c r="BN190" s="30"/>
      <c r="BO190" s="30"/>
    </row>
    <row r="191" ht="15.75" customHeight="1">
      <c r="BK191" s="30"/>
      <c r="BL191" s="30"/>
      <c r="BM191" s="30"/>
      <c r="BN191" s="30"/>
      <c r="BO191" s="30"/>
    </row>
    <row r="192" ht="15.75" customHeight="1">
      <c r="BK192" s="30"/>
      <c r="BL192" s="30"/>
      <c r="BM192" s="30"/>
      <c r="BN192" s="30"/>
      <c r="BO192" s="30"/>
    </row>
    <row r="193" ht="15.75" customHeight="1">
      <c r="BK193" s="30"/>
      <c r="BL193" s="30"/>
      <c r="BM193" s="30"/>
      <c r="BN193" s="30"/>
      <c r="BO193" s="30"/>
    </row>
    <row r="194" ht="15.75" customHeight="1">
      <c r="BK194" s="30"/>
      <c r="BL194" s="30"/>
      <c r="BM194" s="30"/>
      <c r="BN194" s="30"/>
      <c r="BO194" s="30"/>
    </row>
    <row r="195" ht="15.75" customHeight="1">
      <c r="BK195" s="30"/>
      <c r="BL195" s="30"/>
      <c r="BM195" s="30"/>
      <c r="BN195" s="30"/>
      <c r="BO195" s="30"/>
    </row>
    <row r="196" ht="15.75" customHeight="1">
      <c r="BK196" s="30"/>
      <c r="BL196" s="30"/>
      <c r="BM196" s="30"/>
      <c r="BN196" s="30"/>
      <c r="BO196" s="30"/>
    </row>
    <row r="197" ht="15.75" customHeight="1">
      <c r="BK197" s="30"/>
      <c r="BL197" s="30"/>
      <c r="BM197" s="30"/>
      <c r="BN197" s="30"/>
      <c r="BO197" s="30"/>
    </row>
    <row r="198" ht="15.75" customHeight="1">
      <c r="BK198" s="30"/>
      <c r="BL198" s="30"/>
      <c r="BM198" s="30"/>
      <c r="BN198" s="30"/>
      <c r="BO198" s="30"/>
    </row>
    <row r="199" ht="15.75" customHeight="1">
      <c r="BK199" s="30"/>
      <c r="BL199" s="30"/>
      <c r="BM199" s="30"/>
      <c r="BN199" s="30"/>
      <c r="BO199" s="30"/>
    </row>
    <row r="200" ht="15.75" customHeight="1">
      <c r="BK200" s="30"/>
      <c r="BL200" s="30"/>
      <c r="BM200" s="30"/>
      <c r="BN200" s="30"/>
      <c r="BO200" s="30"/>
    </row>
    <row r="201" ht="15.75" customHeight="1">
      <c r="BK201" s="30"/>
      <c r="BL201" s="30"/>
      <c r="BM201" s="30"/>
      <c r="BN201" s="30"/>
      <c r="BO201" s="30"/>
    </row>
    <row r="202" ht="15.75" customHeight="1">
      <c r="BK202" s="30"/>
      <c r="BL202" s="30"/>
      <c r="BM202" s="30"/>
      <c r="BN202" s="30"/>
      <c r="BO202" s="30"/>
    </row>
    <row r="203" ht="15.75" customHeight="1">
      <c r="BK203" s="30"/>
      <c r="BL203" s="30"/>
      <c r="BM203" s="30"/>
      <c r="BN203" s="30"/>
      <c r="BO203" s="30"/>
    </row>
    <row r="204" ht="15.75" customHeight="1">
      <c r="BK204" s="30"/>
      <c r="BL204" s="30"/>
      <c r="BM204" s="30"/>
      <c r="BN204" s="30"/>
      <c r="BO204" s="30"/>
    </row>
    <row r="205" ht="15.75" customHeight="1">
      <c r="BK205" s="30"/>
      <c r="BL205" s="30"/>
      <c r="BM205" s="30"/>
      <c r="BN205" s="30"/>
      <c r="BO205" s="30"/>
    </row>
    <row r="206" ht="15.75" customHeight="1">
      <c r="BK206" s="30"/>
      <c r="BL206" s="30"/>
      <c r="BM206" s="30"/>
      <c r="BN206" s="30"/>
      <c r="BO206" s="30"/>
    </row>
    <row r="207" ht="15.75" customHeight="1">
      <c r="BK207" s="30"/>
      <c r="BL207" s="30"/>
      <c r="BM207" s="30"/>
      <c r="BN207" s="30"/>
      <c r="BO207" s="30"/>
    </row>
    <row r="208" ht="15.75" customHeight="1">
      <c r="BK208" s="30"/>
      <c r="BL208" s="30"/>
      <c r="BM208" s="30"/>
      <c r="BN208" s="30"/>
      <c r="BO208" s="30"/>
    </row>
    <row r="209" ht="15.75" customHeight="1">
      <c r="BK209" s="30"/>
      <c r="BL209" s="30"/>
      <c r="BM209" s="30"/>
      <c r="BN209" s="30"/>
      <c r="BO209" s="30"/>
    </row>
    <row r="210" ht="15.75" customHeight="1">
      <c r="BK210" s="30"/>
      <c r="BL210" s="30"/>
      <c r="BM210" s="30"/>
      <c r="BN210" s="30"/>
      <c r="BO210" s="30"/>
    </row>
    <row r="211" ht="15.75" customHeight="1">
      <c r="BK211" s="30"/>
      <c r="BL211" s="30"/>
      <c r="BM211" s="30"/>
      <c r="BN211" s="30"/>
      <c r="BO211" s="30"/>
    </row>
    <row r="212" ht="15.75" customHeight="1">
      <c r="BK212" s="30"/>
      <c r="BL212" s="30"/>
      <c r="BM212" s="30"/>
      <c r="BN212" s="30"/>
      <c r="BO212" s="30"/>
    </row>
    <row r="213" ht="15.75" customHeight="1">
      <c r="BK213" s="30"/>
      <c r="BL213" s="30"/>
      <c r="BM213" s="30"/>
      <c r="BN213" s="30"/>
      <c r="BO213" s="30"/>
    </row>
    <row r="214" ht="15.75" customHeight="1">
      <c r="BK214" s="30"/>
      <c r="BL214" s="30"/>
      <c r="BM214" s="30"/>
      <c r="BN214" s="30"/>
      <c r="BO214" s="30"/>
    </row>
    <row r="215" ht="15.75" customHeight="1">
      <c r="BK215" s="30"/>
      <c r="BL215" s="30"/>
      <c r="BM215" s="30"/>
      <c r="BN215" s="30"/>
      <c r="BO215" s="30"/>
    </row>
    <row r="216" ht="15.75" customHeight="1">
      <c r="BK216" s="30"/>
      <c r="BL216" s="30"/>
      <c r="BM216" s="30"/>
      <c r="BN216" s="30"/>
      <c r="BO216" s="30"/>
    </row>
    <row r="217" ht="15.75" customHeight="1">
      <c r="BK217" s="30"/>
      <c r="BL217" s="30"/>
      <c r="BM217" s="30"/>
      <c r="BN217" s="30"/>
      <c r="BO217" s="30"/>
    </row>
    <row r="218" ht="15.75" customHeight="1">
      <c r="BK218" s="30"/>
      <c r="BL218" s="30"/>
      <c r="BM218" s="30"/>
      <c r="BN218" s="30"/>
      <c r="BO218" s="30"/>
    </row>
    <row r="219" ht="15.75" customHeight="1">
      <c r="BK219" s="30"/>
      <c r="BL219" s="30"/>
      <c r="BM219" s="30"/>
      <c r="BN219" s="30"/>
      <c r="BO219" s="30"/>
    </row>
    <row r="220" ht="15.75" customHeight="1">
      <c r="BK220" s="30"/>
      <c r="BL220" s="30"/>
      <c r="BM220" s="30"/>
      <c r="BN220" s="30"/>
      <c r="BO220" s="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Q1:BQ2"/>
    <mergeCell ref="BR1:BR2"/>
    <mergeCell ref="F1:J1"/>
    <mergeCell ref="S1:W1"/>
    <mergeCell ref="AF1:AJ1"/>
    <mergeCell ref="AS1:AW1"/>
    <mergeCell ref="BE1:BI1"/>
    <mergeCell ref="BK1:BO1"/>
    <mergeCell ref="BP1:BP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4.43"/>
    <col customWidth="1" min="3" max="3" width="2.43"/>
    <col customWidth="1" min="4" max="6" width="2.14"/>
    <col customWidth="1" min="7" max="7" width="2.0"/>
    <col customWidth="1" min="8" max="8" width="4.43"/>
    <col customWidth="1" min="9" max="9" width="4.86"/>
    <col customWidth="1" min="10" max="10" width="4.14"/>
    <col customWidth="1" min="11" max="11" width="4.86"/>
    <col customWidth="1" min="12" max="12" width="4.29"/>
    <col customWidth="1" min="13" max="13" width="3.43"/>
    <col customWidth="1" min="14" max="14" width="4.29"/>
    <col customWidth="1" min="15" max="15" width="4.43"/>
    <col customWidth="1" min="16" max="16" width="2.43"/>
    <col customWidth="1" min="17" max="19" width="2.14"/>
    <col customWidth="1" min="20" max="20" width="2.0"/>
    <col customWidth="1" min="21" max="21" width="4.43"/>
    <col customWidth="1" min="22" max="22" width="4.86"/>
    <col customWidth="1" min="23" max="23" width="4.14"/>
    <col customWidth="1" min="24" max="24" width="4.86"/>
    <col customWidth="1" min="25" max="25" width="4.29"/>
    <col customWidth="1" min="26" max="26" width="3.43"/>
    <col customWidth="1" min="27" max="27" width="4.29"/>
    <col customWidth="1" min="28" max="28" width="4.43"/>
    <col customWidth="1" min="29" max="29" width="2.43"/>
    <col customWidth="1" min="30" max="32" width="2.14"/>
    <col customWidth="1" min="33" max="33" width="2.0"/>
    <col customWidth="1" min="34" max="34" width="4.43"/>
    <col customWidth="1" min="35" max="35" width="4.86"/>
    <col customWidth="1" min="36" max="36" width="4.14"/>
    <col customWidth="1" min="37" max="37" width="4.86"/>
    <col customWidth="1" min="38" max="38" width="4.29"/>
    <col customWidth="1" min="39" max="39" width="3.43"/>
    <col customWidth="1" min="40" max="40" width="4.29"/>
    <col customWidth="1" min="41" max="41" width="4.43"/>
    <col customWidth="1" min="42" max="42" width="2.43"/>
    <col customWidth="1" min="43" max="45" width="2.14"/>
    <col customWidth="1" min="46" max="46" width="2.0"/>
    <col customWidth="1" min="47" max="47" width="4.43"/>
    <col customWidth="1" min="48" max="48" width="4.86"/>
    <col customWidth="1" min="49" max="49" width="4.14"/>
    <col customWidth="1" min="50" max="50" width="4.86"/>
    <col customWidth="1" min="51" max="51" width="4.29"/>
    <col customWidth="1" min="52" max="52" width="4.0"/>
    <col customWidth="1" min="53" max="53" width="4.29"/>
    <col customWidth="1" min="54" max="54" width="2.43"/>
    <col customWidth="1" min="55" max="57" width="2.14"/>
    <col customWidth="1" min="58" max="58" width="2.0"/>
    <col customWidth="1" min="59" max="59" width="4.43"/>
    <col customWidth="1" min="60" max="60" width="2.43"/>
    <col customWidth="1" min="61" max="61" width="2.0"/>
    <col customWidth="1" min="62" max="63" width="3.0"/>
    <col customWidth="1" min="64" max="64" width="2.14"/>
    <col customWidth="1" min="65" max="65" width="7.86"/>
    <col customWidth="1" min="66" max="66" width="7.14"/>
    <col customWidth="1" min="67" max="67" width="4.57"/>
  </cols>
  <sheetData>
    <row r="1">
      <c r="A1" s="1" t="s">
        <v>0</v>
      </c>
      <c r="B1" s="3" t="s">
        <v>4</v>
      </c>
      <c r="C1" s="4" t="s">
        <v>5</v>
      </c>
      <c r="D1" s="5"/>
      <c r="E1" s="5"/>
      <c r="F1" s="5"/>
      <c r="G1" s="6"/>
      <c r="H1" s="7" t="s">
        <v>6</v>
      </c>
      <c r="I1" s="2" t="s">
        <v>7</v>
      </c>
      <c r="J1" s="2" t="s">
        <v>8</v>
      </c>
      <c r="K1" s="2" t="s">
        <v>9</v>
      </c>
      <c r="L1" s="2" t="s">
        <v>1</v>
      </c>
      <c r="M1" s="2" t="s">
        <v>2</v>
      </c>
      <c r="N1" s="3" t="s">
        <v>3</v>
      </c>
      <c r="O1" s="3" t="s">
        <v>4</v>
      </c>
      <c r="P1" s="4" t="s">
        <v>5</v>
      </c>
      <c r="Q1" s="5"/>
      <c r="R1" s="5"/>
      <c r="S1" s="5"/>
      <c r="T1" s="6"/>
      <c r="U1" s="7" t="s">
        <v>6</v>
      </c>
      <c r="V1" s="2" t="s">
        <v>7</v>
      </c>
      <c r="W1" s="2" t="s">
        <v>8</v>
      </c>
      <c r="X1" s="2" t="s">
        <v>9</v>
      </c>
      <c r="Y1" s="2" t="s">
        <v>1</v>
      </c>
      <c r="Z1" s="2" t="s">
        <v>2</v>
      </c>
      <c r="AA1" s="3" t="s">
        <v>3</v>
      </c>
      <c r="AB1" s="3" t="s">
        <v>4</v>
      </c>
      <c r="AC1" s="4" t="s">
        <v>5</v>
      </c>
      <c r="AD1" s="5"/>
      <c r="AE1" s="5"/>
      <c r="AF1" s="5"/>
      <c r="AG1" s="6"/>
      <c r="AH1" s="7" t="s">
        <v>6</v>
      </c>
      <c r="AI1" s="2" t="s">
        <v>7</v>
      </c>
      <c r="AJ1" s="2" t="s">
        <v>8</v>
      </c>
      <c r="AK1" s="2" t="s">
        <v>9</v>
      </c>
      <c r="AL1" s="2" t="s">
        <v>1</v>
      </c>
      <c r="AM1" s="2" t="s">
        <v>2</v>
      </c>
      <c r="AN1" s="3" t="s">
        <v>3</v>
      </c>
      <c r="AO1" s="3" t="s">
        <v>4</v>
      </c>
      <c r="AP1" s="4" t="s">
        <v>5</v>
      </c>
      <c r="AQ1" s="5"/>
      <c r="AR1" s="5"/>
      <c r="AS1" s="5"/>
      <c r="AT1" s="6"/>
      <c r="AU1" s="7" t="s">
        <v>6</v>
      </c>
      <c r="AV1" s="2" t="s">
        <v>7</v>
      </c>
      <c r="AW1" s="2" t="s">
        <v>8</v>
      </c>
      <c r="AX1" s="2" t="s">
        <v>9</v>
      </c>
      <c r="AY1" s="2" t="s">
        <v>1</v>
      </c>
      <c r="AZ1" s="2" t="s">
        <v>2</v>
      </c>
      <c r="BA1" s="3" t="s">
        <v>3</v>
      </c>
      <c r="BB1" s="4" t="s">
        <v>5</v>
      </c>
      <c r="BC1" s="5"/>
      <c r="BD1" s="5"/>
      <c r="BE1" s="5"/>
      <c r="BF1" s="6"/>
      <c r="BG1" s="7" t="s">
        <v>6</v>
      </c>
      <c r="BH1" s="8" t="s">
        <v>5</v>
      </c>
      <c r="BI1" s="5"/>
      <c r="BJ1" s="5"/>
      <c r="BK1" s="5"/>
      <c r="BL1" s="6"/>
      <c r="BM1" s="9" t="s">
        <v>10</v>
      </c>
      <c r="BN1" s="9" t="s">
        <v>11</v>
      </c>
      <c r="BO1" s="10" t="s">
        <v>12</v>
      </c>
    </row>
    <row r="2">
      <c r="A2" s="11" t="s">
        <v>13</v>
      </c>
      <c r="B2" s="12">
        <v>1.0</v>
      </c>
      <c r="C2" s="13" t="s">
        <v>14</v>
      </c>
      <c r="D2" s="13" t="s">
        <v>15</v>
      </c>
      <c r="E2" s="13" t="s">
        <v>16</v>
      </c>
      <c r="F2" s="13" t="s">
        <v>17</v>
      </c>
      <c r="G2" s="13" t="s">
        <v>18</v>
      </c>
      <c r="H2" s="14"/>
      <c r="I2" s="11">
        <v>2.0</v>
      </c>
      <c r="J2" s="11">
        <v>3.0</v>
      </c>
      <c r="K2" s="11">
        <v>4.0</v>
      </c>
      <c r="L2" s="11">
        <v>5.0</v>
      </c>
      <c r="M2" s="11">
        <v>6.0</v>
      </c>
      <c r="N2" s="12">
        <v>7.0</v>
      </c>
      <c r="O2" s="12">
        <v>8.0</v>
      </c>
      <c r="P2" s="13" t="s">
        <v>14</v>
      </c>
      <c r="Q2" s="13" t="s">
        <v>15</v>
      </c>
      <c r="R2" s="13" t="s">
        <v>16</v>
      </c>
      <c r="S2" s="13" t="s">
        <v>17</v>
      </c>
      <c r="T2" s="13" t="s">
        <v>18</v>
      </c>
      <c r="U2" s="14"/>
      <c r="V2" s="11">
        <v>9.0</v>
      </c>
      <c r="W2" s="11">
        <v>10.0</v>
      </c>
      <c r="X2" s="11">
        <v>11.0</v>
      </c>
      <c r="Y2" s="11">
        <v>12.0</v>
      </c>
      <c r="Z2" s="11">
        <v>13.0</v>
      </c>
      <c r="AA2" s="12">
        <v>14.0</v>
      </c>
      <c r="AB2" s="12">
        <v>15.0</v>
      </c>
      <c r="AC2" s="13" t="s">
        <v>14</v>
      </c>
      <c r="AD2" s="13" t="s">
        <v>15</v>
      </c>
      <c r="AE2" s="13" t="s">
        <v>16</v>
      </c>
      <c r="AF2" s="13" t="s">
        <v>17</v>
      </c>
      <c r="AG2" s="13" t="s">
        <v>18</v>
      </c>
      <c r="AH2" s="14"/>
      <c r="AI2" s="11">
        <v>16.0</v>
      </c>
      <c r="AJ2" s="11">
        <v>17.0</v>
      </c>
      <c r="AK2" s="11">
        <v>18.0</v>
      </c>
      <c r="AL2" s="11">
        <v>19.0</v>
      </c>
      <c r="AM2" s="11">
        <v>20.0</v>
      </c>
      <c r="AN2" s="12">
        <v>21.0</v>
      </c>
      <c r="AO2" s="12">
        <v>22.0</v>
      </c>
      <c r="AP2" s="13" t="s">
        <v>14</v>
      </c>
      <c r="AQ2" s="13" t="s">
        <v>15</v>
      </c>
      <c r="AR2" s="13" t="s">
        <v>16</v>
      </c>
      <c r="AS2" s="13" t="s">
        <v>17</v>
      </c>
      <c r="AT2" s="13" t="s">
        <v>18</v>
      </c>
      <c r="AU2" s="14"/>
      <c r="AV2" s="11">
        <v>23.0</v>
      </c>
      <c r="AW2" s="11">
        <v>24.0</v>
      </c>
      <c r="AX2" s="11">
        <v>25.0</v>
      </c>
      <c r="AY2" s="11">
        <v>26.0</v>
      </c>
      <c r="AZ2" s="11">
        <v>27.0</v>
      </c>
      <c r="BA2" s="12">
        <v>28.0</v>
      </c>
      <c r="BB2" s="13" t="s">
        <v>14</v>
      </c>
      <c r="BC2" s="13" t="s">
        <v>15</v>
      </c>
      <c r="BD2" s="13" t="s">
        <v>16</v>
      </c>
      <c r="BE2" s="13" t="s">
        <v>17</v>
      </c>
      <c r="BF2" s="13" t="s">
        <v>18</v>
      </c>
      <c r="BG2" s="14"/>
      <c r="BH2" s="15" t="s">
        <v>14</v>
      </c>
      <c r="BI2" s="15" t="s">
        <v>19</v>
      </c>
      <c r="BJ2" s="15" t="s">
        <v>18</v>
      </c>
      <c r="BK2" s="15" t="s">
        <v>16</v>
      </c>
      <c r="BL2" s="15" t="s">
        <v>17</v>
      </c>
      <c r="BM2" s="16"/>
      <c r="BN2" s="16"/>
      <c r="BO2" s="16"/>
    </row>
    <row r="3">
      <c r="A3" s="17" t="s">
        <v>20</v>
      </c>
      <c r="B3" s="19" t="s">
        <v>21</v>
      </c>
      <c r="C3" s="20">
        <v>0.0</v>
      </c>
      <c r="D3" s="20">
        <v>0.0</v>
      </c>
      <c r="E3" s="20">
        <v>0.0</v>
      </c>
      <c r="F3" s="20">
        <v>0.0</v>
      </c>
      <c r="G3" s="20">
        <v>0.0</v>
      </c>
      <c r="H3" s="14">
        <f>(7*C3)+(7*D3)+(12*E3)+(9*F3)+(12*G3)</f>
        <v>0</v>
      </c>
      <c r="I3" s="17" t="s">
        <v>18</v>
      </c>
      <c r="J3" s="17" t="s">
        <v>18</v>
      </c>
      <c r="K3" s="17" t="s">
        <v>18</v>
      </c>
      <c r="L3" s="17" t="s">
        <v>18</v>
      </c>
      <c r="M3" s="18" t="s">
        <v>21</v>
      </c>
      <c r="N3" s="19" t="s">
        <v>21</v>
      </c>
      <c r="O3" s="19" t="s">
        <v>21</v>
      </c>
      <c r="P3" s="20">
        <v>0.0</v>
      </c>
      <c r="Q3" s="20">
        <v>0.0</v>
      </c>
      <c r="R3" s="20">
        <v>0.0</v>
      </c>
      <c r="S3" s="20">
        <v>0.0</v>
      </c>
      <c r="T3" s="20">
        <v>4.0</v>
      </c>
      <c r="U3" s="14">
        <f>(7*P3)+(7*Q3)+(12*R3)+(9*S3)+(12*T3)</f>
        <v>48</v>
      </c>
      <c r="V3" s="17" t="s">
        <v>18</v>
      </c>
      <c r="W3" s="17" t="s">
        <v>18</v>
      </c>
      <c r="X3" s="17" t="s">
        <v>18</v>
      </c>
      <c r="Y3" s="17" t="s">
        <v>18</v>
      </c>
      <c r="Z3" s="18" t="s">
        <v>21</v>
      </c>
      <c r="AA3" s="19" t="s">
        <v>21</v>
      </c>
      <c r="AB3" s="19" t="s">
        <v>21</v>
      </c>
      <c r="AC3" s="20">
        <v>0.0</v>
      </c>
      <c r="AD3" s="20">
        <v>0.0</v>
      </c>
      <c r="AE3" s="20">
        <v>0.0</v>
      </c>
      <c r="AF3" s="20">
        <v>0.0</v>
      </c>
      <c r="AG3" s="20">
        <v>4.0</v>
      </c>
      <c r="AH3" s="14">
        <f>(7*AC3)+(7*AD3)+(12*AE3)+(9*AF3)+(12*AG3)</f>
        <v>48</v>
      </c>
      <c r="AI3" s="17" t="s">
        <v>18</v>
      </c>
      <c r="AJ3" s="17" t="s">
        <v>18</v>
      </c>
      <c r="AK3" s="17" t="s">
        <v>18</v>
      </c>
      <c r="AL3" s="17" t="s">
        <v>18</v>
      </c>
      <c r="AM3" s="18" t="s">
        <v>21</v>
      </c>
      <c r="AN3" s="19" t="s">
        <v>21</v>
      </c>
      <c r="AO3" s="19" t="s">
        <v>21</v>
      </c>
      <c r="AP3" s="20">
        <v>0.0</v>
      </c>
      <c r="AQ3" s="20">
        <v>0.0</v>
      </c>
      <c r="AR3" s="20">
        <v>0.0</v>
      </c>
      <c r="AS3" s="20">
        <v>0.0</v>
      </c>
      <c r="AT3" s="20">
        <v>4.0</v>
      </c>
      <c r="AU3" s="14">
        <f>(7*AP3)+(7*AQ3)+(12*AR3)+(9*AS3)+(12*AT3)</f>
        <v>48</v>
      </c>
      <c r="AV3" s="17" t="s">
        <v>18</v>
      </c>
      <c r="AW3" s="17" t="s">
        <v>18</v>
      </c>
      <c r="AX3" s="17" t="s">
        <v>18</v>
      </c>
      <c r="AY3" s="17" t="s">
        <v>18</v>
      </c>
      <c r="AZ3" s="18" t="s">
        <v>21</v>
      </c>
      <c r="BA3" s="19" t="s">
        <v>21</v>
      </c>
      <c r="BB3" s="20">
        <v>0.0</v>
      </c>
      <c r="BC3" s="20">
        <v>0.0</v>
      </c>
      <c r="BD3" s="20">
        <v>0.0</v>
      </c>
      <c r="BE3" s="20">
        <v>0.0</v>
      </c>
      <c r="BF3" s="20">
        <v>4.0</v>
      </c>
      <c r="BG3" s="14">
        <f>(7*BB3)+(7*BC3)+(12*BD3)+(9*BE3)+(12*BF3)</f>
        <v>48</v>
      </c>
      <c r="BH3" s="21">
        <f t="shared" ref="BH3:BI3" si="1">SUM(C3,P3,AC3,AP3,BB3)</f>
        <v>0</v>
      </c>
      <c r="BI3" s="21">
        <f t="shared" si="1"/>
        <v>0</v>
      </c>
      <c r="BJ3" s="21">
        <f t="shared" ref="BJ3:BJ4" si="4">SUM(G3,T3,AG3,AT3,BF3)</f>
        <v>16</v>
      </c>
      <c r="BK3" s="21">
        <f t="shared" ref="BK3:BL3" si="2">SUM(E3,R3,AE3,AR3,BD3)</f>
        <v>0</v>
      </c>
      <c r="BL3" s="21">
        <f t="shared" si="2"/>
        <v>0</v>
      </c>
      <c r="BM3" s="17">
        <f t="shared" ref="BM3:BM4" si="6">SUM(BH3:BL3)</f>
        <v>16</v>
      </c>
      <c r="BN3" s="17">
        <f t="shared" ref="BN3:BN4" si="7">SUM(H3,U3,AH3,AU3,BG3)</f>
        <v>192</v>
      </c>
      <c r="BO3" s="17">
        <f t="shared" ref="BO3:BO4" si="8">BN3-180</f>
        <v>12</v>
      </c>
    </row>
    <row r="4">
      <c r="A4" s="17" t="s">
        <v>22</v>
      </c>
      <c r="B4" s="19" t="s">
        <v>21</v>
      </c>
      <c r="C4" s="20">
        <v>0.0</v>
      </c>
      <c r="D4" s="20">
        <v>0.0</v>
      </c>
      <c r="E4" s="20">
        <v>0.0</v>
      </c>
      <c r="F4" s="20">
        <v>0.0</v>
      </c>
      <c r="G4" s="20">
        <v>0.0</v>
      </c>
      <c r="H4" s="14">
        <f>(7*C4)+(7*D4)+(12*E4)+(8*F4)+(12*G4)</f>
        <v>0</v>
      </c>
      <c r="I4" s="23" t="s">
        <v>16</v>
      </c>
      <c r="J4" s="23" t="s">
        <v>16</v>
      </c>
      <c r="K4" s="23" t="s">
        <v>16</v>
      </c>
      <c r="L4" s="18" t="s">
        <v>21</v>
      </c>
      <c r="M4" s="18" t="s">
        <v>21</v>
      </c>
      <c r="N4" s="19" t="s">
        <v>21</v>
      </c>
      <c r="O4" s="19" t="s">
        <v>21</v>
      </c>
      <c r="P4" s="20">
        <v>0.0</v>
      </c>
      <c r="Q4" s="20">
        <v>0.0</v>
      </c>
      <c r="R4" s="20">
        <v>3.0</v>
      </c>
      <c r="S4" s="20">
        <v>0.0</v>
      </c>
      <c r="T4" s="20">
        <v>0.0</v>
      </c>
      <c r="U4" s="14">
        <f>(7*P4)+(7*Q4)+(12*R4)+(8*S4)+(12*T4)</f>
        <v>36</v>
      </c>
      <c r="V4" s="23" t="s">
        <v>16</v>
      </c>
      <c r="W4" s="23" t="s">
        <v>16</v>
      </c>
      <c r="X4" s="23" t="s">
        <v>16</v>
      </c>
      <c r="Y4" s="18" t="s">
        <v>21</v>
      </c>
      <c r="Z4" s="17" t="s">
        <v>18</v>
      </c>
      <c r="AA4" s="19" t="s">
        <v>21</v>
      </c>
      <c r="AB4" s="19" t="s">
        <v>21</v>
      </c>
      <c r="AC4" s="20">
        <v>0.0</v>
      </c>
      <c r="AD4" s="20">
        <v>0.0</v>
      </c>
      <c r="AE4" s="20">
        <v>3.0</v>
      </c>
      <c r="AF4" s="20">
        <v>0.0</v>
      </c>
      <c r="AG4" s="20">
        <v>1.0</v>
      </c>
      <c r="AH4" s="14">
        <f>(7*AC4)+(7*AD4)+(12*AE4)+(8*AF4)+(12*AG4)</f>
        <v>48</v>
      </c>
      <c r="AI4" s="23" t="s">
        <v>16</v>
      </c>
      <c r="AJ4" s="23" t="s">
        <v>16</v>
      </c>
      <c r="AK4" s="23" t="s">
        <v>16</v>
      </c>
      <c r="AL4" s="18" t="s">
        <v>21</v>
      </c>
      <c r="AM4" s="18" t="s">
        <v>21</v>
      </c>
      <c r="AN4" s="19" t="s">
        <v>21</v>
      </c>
      <c r="AO4" s="19" t="s">
        <v>21</v>
      </c>
      <c r="AP4" s="20">
        <v>0.0</v>
      </c>
      <c r="AQ4" s="20">
        <v>0.0</v>
      </c>
      <c r="AR4" s="20">
        <v>3.0</v>
      </c>
      <c r="AS4" s="20">
        <v>0.0</v>
      </c>
      <c r="AT4" s="20">
        <v>0.0</v>
      </c>
      <c r="AU4" s="14">
        <f>(7*AP4)+(7*AQ4)+(12*AR4)+(8*AS4)+(12*AT4)</f>
        <v>36</v>
      </c>
      <c r="AV4" s="23" t="s">
        <v>16</v>
      </c>
      <c r="AW4" s="23" t="s">
        <v>16</v>
      </c>
      <c r="AX4" s="23" t="s">
        <v>16</v>
      </c>
      <c r="AY4" s="18" t="s">
        <v>21</v>
      </c>
      <c r="AZ4" s="17" t="s">
        <v>18</v>
      </c>
      <c r="BA4" s="19" t="s">
        <v>21</v>
      </c>
      <c r="BB4" s="20">
        <v>0.0</v>
      </c>
      <c r="BC4" s="20">
        <v>0.0</v>
      </c>
      <c r="BD4" s="20">
        <v>3.0</v>
      </c>
      <c r="BE4" s="20">
        <v>0.0</v>
      </c>
      <c r="BF4" s="20">
        <v>1.0</v>
      </c>
      <c r="BG4" s="14">
        <f>(7*BB4)+(7*BC4)+(12*BD4)+(8*BE4)+(12*BF4)</f>
        <v>48</v>
      </c>
      <c r="BH4" s="21">
        <f t="shared" ref="BH4:BI4" si="3">SUM(C4,P4,AC4,AP4,BB4)</f>
        <v>0</v>
      </c>
      <c r="BI4" s="21">
        <f t="shared" si="3"/>
        <v>0</v>
      </c>
      <c r="BJ4" s="21">
        <f t="shared" si="4"/>
        <v>2</v>
      </c>
      <c r="BK4" s="21">
        <f t="shared" ref="BK4:BL4" si="5">SUM(E4,R4,AE4,AR4,BD4)</f>
        <v>12</v>
      </c>
      <c r="BL4" s="21">
        <f t="shared" si="5"/>
        <v>0</v>
      </c>
      <c r="BM4" s="17">
        <f t="shared" si="6"/>
        <v>14</v>
      </c>
      <c r="BN4" s="17">
        <f t="shared" si="7"/>
        <v>168</v>
      </c>
      <c r="BO4" s="17">
        <f t="shared" si="8"/>
        <v>-12</v>
      </c>
    </row>
    <row r="5">
      <c r="A5" s="11" t="s">
        <v>24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5">
        <f>SUM(BN3:BN4)</f>
        <v>360</v>
      </c>
      <c r="BO5" s="24"/>
    </row>
    <row r="6">
      <c r="A6" s="26" t="s">
        <v>25</v>
      </c>
      <c r="B6" s="27" t="s">
        <v>16</v>
      </c>
      <c r="C6" s="28">
        <v>0.0</v>
      </c>
      <c r="D6" s="28">
        <v>0.0</v>
      </c>
      <c r="E6" s="28">
        <v>1.0</v>
      </c>
      <c r="F6" s="28">
        <v>0.0</v>
      </c>
      <c r="G6" s="28">
        <v>0.0</v>
      </c>
      <c r="H6" s="28">
        <f t="shared" ref="H6:H8" si="11">(7*C6)+(7*D6)+(12*E6)+(8*F6)+(12*G6)</f>
        <v>12</v>
      </c>
      <c r="I6" s="29" t="s">
        <v>21</v>
      </c>
      <c r="J6" s="29" t="s">
        <v>21</v>
      </c>
      <c r="K6" s="29" t="s">
        <v>21</v>
      </c>
      <c r="L6" s="27" t="s">
        <v>16</v>
      </c>
      <c r="M6" s="27" t="s">
        <v>16</v>
      </c>
      <c r="N6" s="27" t="s">
        <v>16</v>
      </c>
      <c r="O6" s="27" t="s">
        <v>16</v>
      </c>
      <c r="P6" s="28">
        <v>0.0</v>
      </c>
      <c r="Q6" s="28">
        <v>0.0</v>
      </c>
      <c r="R6" s="28">
        <v>4.0</v>
      </c>
      <c r="S6" s="28">
        <v>0.0</v>
      </c>
      <c r="T6" s="28">
        <v>0.0</v>
      </c>
      <c r="U6" s="28">
        <f t="shared" ref="U6:U8" si="12">(7*P6)+(7*Q6)+(12*R6)+(8*S6)+(12*T6)</f>
        <v>48</v>
      </c>
      <c r="V6" s="29" t="s">
        <v>21</v>
      </c>
      <c r="W6" s="29" t="s">
        <v>21</v>
      </c>
      <c r="X6" s="29" t="s">
        <v>21</v>
      </c>
      <c r="Y6" s="27" t="s">
        <v>16</v>
      </c>
      <c r="Z6" s="27" t="s">
        <v>16</v>
      </c>
      <c r="AA6" s="27" t="s">
        <v>16</v>
      </c>
      <c r="AB6" s="27" t="s">
        <v>16</v>
      </c>
      <c r="AC6" s="28">
        <v>0.0</v>
      </c>
      <c r="AD6" s="28">
        <v>0.0</v>
      </c>
      <c r="AE6" s="28">
        <v>4.0</v>
      </c>
      <c r="AF6" s="28">
        <v>0.0</v>
      </c>
      <c r="AG6" s="28">
        <v>0.0</v>
      </c>
      <c r="AH6" s="28">
        <f t="shared" ref="AH6:AH8" si="13">(7*AC6)+(7*AD6)+(12*AE6)+(8*AF6)+(12*AG6)</f>
        <v>48</v>
      </c>
      <c r="AI6" s="29" t="s">
        <v>21</v>
      </c>
      <c r="AJ6" s="29" t="s">
        <v>21</v>
      </c>
      <c r="AK6" s="29" t="s">
        <v>21</v>
      </c>
      <c r="AL6" s="27" t="s">
        <v>16</v>
      </c>
      <c r="AM6" s="27" t="s">
        <v>16</v>
      </c>
      <c r="AN6" s="27" t="s">
        <v>16</v>
      </c>
      <c r="AO6" s="27" t="s">
        <v>16</v>
      </c>
      <c r="AP6" s="28">
        <v>0.0</v>
      </c>
      <c r="AQ6" s="28">
        <v>0.0</v>
      </c>
      <c r="AR6" s="28">
        <v>4.0</v>
      </c>
      <c r="AS6" s="28">
        <v>0.0</v>
      </c>
      <c r="AT6" s="28">
        <v>0.0</v>
      </c>
      <c r="AU6" s="28">
        <f t="shared" ref="AU6:AU8" si="14">(7*AP6)+(7*AQ6)+(12*AR6)+(8*AS6)+(12*AT6)</f>
        <v>48</v>
      </c>
      <c r="AV6" s="29" t="s">
        <v>21</v>
      </c>
      <c r="AW6" s="29" t="s">
        <v>21</v>
      </c>
      <c r="AX6" s="29" t="s">
        <v>21</v>
      </c>
      <c r="AY6" s="27" t="s">
        <v>16</v>
      </c>
      <c r="AZ6" s="27" t="s">
        <v>16</v>
      </c>
      <c r="BA6" s="27" t="s">
        <v>16</v>
      </c>
      <c r="BB6" s="28">
        <v>0.0</v>
      </c>
      <c r="BC6" s="28">
        <v>0.0</v>
      </c>
      <c r="BD6" s="28">
        <v>3.0</v>
      </c>
      <c r="BE6" s="28">
        <v>0.0</v>
      </c>
      <c r="BF6" s="28">
        <v>0.0</v>
      </c>
      <c r="BG6" s="28">
        <f t="shared" ref="BG6:BG8" si="15">(7*BB6)+(7*BC6)+(12*BD6)+(8*BE6)+(12*BF6)</f>
        <v>36</v>
      </c>
      <c r="BH6" s="28">
        <f t="shared" ref="BH6:BI6" si="9">SUM(C6,P6,AC6,AP6,BB6)</f>
        <v>0</v>
      </c>
      <c r="BI6" s="28">
        <f t="shared" si="9"/>
        <v>0</v>
      </c>
      <c r="BJ6" s="28">
        <f t="shared" ref="BJ6:BJ8" si="17">SUM(G6,T6,AG6,AT6,BF6)</f>
        <v>0</v>
      </c>
      <c r="BK6" s="28">
        <f t="shared" ref="BK6:BL6" si="10">SUM(E6,R6,AE6,AR6,BD6)</f>
        <v>16</v>
      </c>
      <c r="BL6" s="28">
        <f t="shared" si="10"/>
        <v>0</v>
      </c>
      <c r="BM6" s="26">
        <f t="shared" ref="BM6:BM8" si="19">SUM(BH6:BL6)</f>
        <v>16</v>
      </c>
      <c r="BN6" s="26">
        <f t="shared" ref="BN6:BN8" si="20">SUM(H6,U6,AH6,AU6,BG6)</f>
        <v>192</v>
      </c>
      <c r="BO6" s="26">
        <f t="shared" ref="BO6:BO8" si="21">BN6-180</f>
        <v>12</v>
      </c>
    </row>
    <row r="7">
      <c r="A7" s="26" t="s">
        <v>26</v>
      </c>
      <c r="B7" s="29" t="s">
        <v>21</v>
      </c>
      <c r="C7" s="28">
        <v>0.0</v>
      </c>
      <c r="D7" s="28">
        <v>0.0</v>
      </c>
      <c r="E7" s="28">
        <v>0.0</v>
      </c>
      <c r="F7" s="28">
        <v>0.0</v>
      </c>
      <c r="G7" s="28">
        <v>0.0</v>
      </c>
      <c r="H7" s="28">
        <f t="shared" si="11"/>
        <v>0</v>
      </c>
      <c r="I7" s="29" t="s">
        <v>21</v>
      </c>
      <c r="J7" s="29" t="s">
        <v>21</v>
      </c>
      <c r="K7" s="29" t="s">
        <v>21</v>
      </c>
      <c r="L7" s="29" t="s">
        <v>21</v>
      </c>
      <c r="M7" s="29" t="s">
        <v>21</v>
      </c>
      <c r="N7" s="26" t="s">
        <v>18</v>
      </c>
      <c r="O7" s="26" t="s">
        <v>18</v>
      </c>
      <c r="P7" s="28">
        <v>0.0</v>
      </c>
      <c r="Q7" s="28">
        <v>0.0</v>
      </c>
      <c r="R7" s="28">
        <v>0.0</v>
      </c>
      <c r="S7" s="28">
        <v>0.0</v>
      </c>
      <c r="T7" s="28">
        <v>2.0</v>
      </c>
      <c r="U7" s="28">
        <f t="shared" si="12"/>
        <v>24</v>
      </c>
      <c r="V7" s="29" t="s">
        <v>21</v>
      </c>
      <c r="W7" s="29" t="s">
        <v>21</v>
      </c>
      <c r="X7" s="29" t="s">
        <v>21</v>
      </c>
      <c r="Y7" s="29" t="s">
        <v>21</v>
      </c>
      <c r="Z7" s="29" t="s">
        <v>21</v>
      </c>
      <c r="AA7" s="29" t="s">
        <v>21</v>
      </c>
      <c r="AB7" s="29" t="s">
        <v>21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f t="shared" si="13"/>
        <v>0</v>
      </c>
      <c r="AI7" s="29" t="s">
        <v>21</v>
      </c>
      <c r="AJ7" s="29" t="s">
        <v>21</v>
      </c>
      <c r="AK7" s="29" t="s">
        <v>21</v>
      </c>
      <c r="AL7" s="29" t="s">
        <v>21</v>
      </c>
      <c r="AM7" s="29" t="s">
        <v>21</v>
      </c>
      <c r="AN7" s="26" t="s">
        <v>18</v>
      </c>
      <c r="AO7" s="26" t="s">
        <v>18</v>
      </c>
      <c r="AP7" s="28">
        <v>0.0</v>
      </c>
      <c r="AQ7" s="28">
        <v>0.0</v>
      </c>
      <c r="AR7" s="28">
        <v>0.0</v>
      </c>
      <c r="AS7" s="28">
        <v>0.0</v>
      </c>
      <c r="AT7" s="28">
        <v>2.0</v>
      </c>
      <c r="AU7" s="28">
        <f t="shared" si="14"/>
        <v>24</v>
      </c>
      <c r="AV7" s="29" t="s">
        <v>21</v>
      </c>
      <c r="AW7" s="29" t="s">
        <v>21</v>
      </c>
      <c r="AX7" s="29" t="s">
        <v>21</v>
      </c>
      <c r="AY7" s="29" t="s">
        <v>21</v>
      </c>
      <c r="AZ7" s="29" t="s">
        <v>21</v>
      </c>
      <c r="BA7" s="29" t="s">
        <v>21</v>
      </c>
      <c r="BB7" s="28">
        <v>0.0</v>
      </c>
      <c r="BC7" s="28">
        <v>0.0</v>
      </c>
      <c r="BD7" s="28">
        <v>0.0</v>
      </c>
      <c r="BE7" s="28">
        <v>0.0</v>
      </c>
      <c r="BF7" s="28">
        <v>0.0</v>
      </c>
      <c r="BG7" s="28">
        <f t="shared" si="15"/>
        <v>0</v>
      </c>
      <c r="BH7" s="28">
        <f t="shared" ref="BH7:BI7" si="16">SUM(C7,P7,AC7,AP7,BB7)</f>
        <v>0</v>
      </c>
      <c r="BI7" s="28">
        <f t="shared" si="16"/>
        <v>0</v>
      </c>
      <c r="BJ7" s="28">
        <f t="shared" si="17"/>
        <v>4</v>
      </c>
      <c r="BK7" s="28">
        <f t="shared" ref="BK7:BL7" si="18">SUM(E7,R7,AE7,AR7,BD7)</f>
        <v>0</v>
      </c>
      <c r="BL7" s="28">
        <f t="shared" si="18"/>
        <v>0</v>
      </c>
      <c r="BM7" s="26">
        <f t="shared" si="19"/>
        <v>4</v>
      </c>
      <c r="BN7" s="26">
        <f t="shared" si="20"/>
        <v>48</v>
      </c>
      <c r="BO7" s="26">
        <f t="shared" si="21"/>
        <v>-132</v>
      </c>
    </row>
    <row r="8">
      <c r="A8" s="26" t="s">
        <v>27</v>
      </c>
      <c r="B8" s="29" t="s">
        <v>21</v>
      </c>
      <c r="C8" s="28">
        <v>0.0</v>
      </c>
      <c r="D8" s="28">
        <v>0.0</v>
      </c>
      <c r="E8" s="28">
        <v>0.0</v>
      </c>
      <c r="F8" s="28">
        <v>0.0</v>
      </c>
      <c r="G8" s="28">
        <v>0.0</v>
      </c>
      <c r="H8" s="28">
        <f t="shared" si="11"/>
        <v>0</v>
      </c>
      <c r="I8" s="29" t="s">
        <v>21</v>
      </c>
      <c r="J8" s="29" t="s">
        <v>21</v>
      </c>
      <c r="K8" s="29" t="s">
        <v>21</v>
      </c>
      <c r="L8" s="29" t="s">
        <v>21</v>
      </c>
      <c r="M8" s="26" t="s">
        <v>18</v>
      </c>
      <c r="N8" s="29" t="s">
        <v>21</v>
      </c>
      <c r="O8" s="29" t="s">
        <v>21</v>
      </c>
      <c r="P8" s="28">
        <v>0.0</v>
      </c>
      <c r="Q8" s="28">
        <v>0.0</v>
      </c>
      <c r="R8" s="28">
        <v>0.0</v>
      </c>
      <c r="S8" s="28">
        <v>0.0</v>
      </c>
      <c r="T8" s="28">
        <v>1.0</v>
      </c>
      <c r="U8" s="28">
        <f t="shared" si="12"/>
        <v>12</v>
      </c>
      <c r="V8" s="29" t="s">
        <v>21</v>
      </c>
      <c r="W8" s="29" t="s">
        <v>21</v>
      </c>
      <c r="X8" s="29" t="s">
        <v>21</v>
      </c>
      <c r="Y8" s="29" t="s">
        <v>21</v>
      </c>
      <c r="Z8" s="29" t="s">
        <v>21</v>
      </c>
      <c r="AA8" s="26" t="s">
        <v>18</v>
      </c>
      <c r="AB8" s="26" t="s">
        <v>18</v>
      </c>
      <c r="AC8" s="28">
        <v>0.0</v>
      </c>
      <c r="AD8" s="28">
        <v>0.0</v>
      </c>
      <c r="AE8" s="28">
        <v>0.0</v>
      </c>
      <c r="AF8" s="28">
        <v>0.0</v>
      </c>
      <c r="AG8" s="28">
        <v>2.0</v>
      </c>
      <c r="AH8" s="28">
        <f t="shared" si="13"/>
        <v>24</v>
      </c>
      <c r="AI8" s="29" t="s">
        <v>21</v>
      </c>
      <c r="AJ8" s="29" t="s">
        <v>21</v>
      </c>
      <c r="AK8" s="29" t="s">
        <v>21</v>
      </c>
      <c r="AL8" s="29" t="s">
        <v>21</v>
      </c>
      <c r="AM8" s="26" t="s">
        <v>18</v>
      </c>
      <c r="AN8" s="29" t="s">
        <v>21</v>
      </c>
      <c r="AO8" s="29" t="s">
        <v>21</v>
      </c>
      <c r="AP8" s="28">
        <v>0.0</v>
      </c>
      <c r="AQ8" s="28">
        <v>0.0</v>
      </c>
      <c r="AR8" s="28">
        <v>0.0</v>
      </c>
      <c r="AS8" s="28">
        <v>0.0</v>
      </c>
      <c r="AT8" s="28">
        <v>1.0</v>
      </c>
      <c r="AU8" s="28">
        <f t="shared" si="14"/>
        <v>12</v>
      </c>
      <c r="AV8" s="29" t="s">
        <v>21</v>
      </c>
      <c r="AW8" s="29" t="s">
        <v>21</v>
      </c>
      <c r="AX8" s="29" t="s">
        <v>21</v>
      </c>
      <c r="AY8" s="29" t="s">
        <v>21</v>
      </c>
      <c r="AZ8" s="29" t="s">
        <v>21</v>
      </c>
      <c r="BA8" s="26" t="s">
        <v>18</v>
      </c>
      <c r="BB8" s="28">
        <v>0.0</v>
      </c>
      <c r="BC8" s="28">
        <v>0.0</v>
      </c>
      <c r="BD8" s="28">
        <v>0.0</v>
      </c>
      <c r="BE8" s="28">
        <v>0.0</v>
      </c>
      <c r="BF8" s="28">
        <v>1.0</v>
      </c>
      <c r="BG8" s="28">
        <f t="shared" si="15"/>
        <v>12</v>
      </c>
      <c r="BH8" s="28">
        <f t="shared" ref="BH8:BI8" si="22">SUM(C8,P8,AC8,AP8,BB8)</f>
        <v>0</v>
      </c>
      <c r="BI8" s="28">
        <f t="shared" si="22"/>
        <v>0</v>
      </c>
      <c r="BJ8" s="28">
        <f t="shared" si="17"/>
        <v>5</v>
      </c>
      <c r="BK8" s="28">
        <f t="shared" ref="BK8:BL8" si="23">SUM(E8,R8,AE8,AR8,BD8)</f>
        <v>0</v>
      </c>
      <c r="BL8" s="28">
        <f t="shared" si="23"/>
        <v>0</v>
      </c>
      <c r="BM8" s="26">
        <f t="shared" si="19"/>
        <v>5</v>
      </c>
      <c r="BN8" s="26">
        <f t="shared" si="20"/>
        <v>60</v>
      </c>
      <c r="BO8" s="26">
        <f t="shared" si="21"/>
        <v>-120</v>
      </c>
    </row>
    <row r="9">
      <c r="A9" s="26"/>
      <c r="B9" s="29"/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29"/>
      <c r="O9" s="29"/>
      <c r="P9" s="28"/>
      <c r="Q9" s="28"/>
      <c r="R9" s="28"/>
      <c r="S9" s="28"/>
      <c r="T9" s="28"/>
      <c r="U9" s="28"/>
      <c r="V9" s="29"/>
      <c r="W9" s="29"/>
      <c r="X9" s="29"/>
      <c r="Y9" s="29"/>
      <c r="Z9" s="29"/>
      <c r="AA9" s="29"/>
      <c r="AB9" s="29"/>
      <c r="AC9" s="28"/>
      <c r="AD9" s="28"/>
      <c r="AE9" s="28"/>
      <c r="AF9" s="28"/>
      <c r="AG9" s="28"/>
      <c r="AH9" s="28"/>
      <c r="AI9" s="29"/>
      <c r="AJ9" s="29"/>
      <c r="AK9" s="29"/>
      <c r="AL9" s="29"/>
      <c r="AM9" s="29"/>
      <c r="AN9" s="29"/>
      <c r="AO9" s="29"/>
      <c r="AP9" s="28"/>
      <c r="AQ9" s="28"/>
      <c r="AR9" s="28"/>
      <c r="AS9" s="28"/>
      <c r="AT9" s="28"/>
      <c r="AU9" s="28"/>
      <c r="AV9" s="29"/>
      <c r="AW9" s="29"/>
      <c r="AX9" s="29"/>
      <c r="AY9" s="29"/>
      <c r="AZ9" s="29"/>
      <c r="BA9" s="29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6"/>
      <c r="BN9" s="28">
        <f>SUM(BN6:BN8)</f>
        <v>300</v>
      </c>
      <c r="BO9" s="26"/>
    </row>
    <row r="10">
      <c r="BH10" s="30"/>
      <c r="BI10" s="30"/>
      <c r="BJ10" s="30"/>
      <c r="BK10" s="30"/>
      <c r="BL10" s="30"/>
      <c r="BM10" s="31" t="s">
        <v>29</v>
      </c>
      <c r="BN10" s="32">
        <f>BN5+BN9</f>
        <v>660</v>
      </c>
      <c r="BO10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N1:BN2"/>
    <mergeCell ref="BO1:BO2"/>
    <mergeCell ref="C1:G1"/>
    <mergeCell ref="P1:T1"/>
    <mergeCell ref="AC1:AG1"/>
    <mergeCell ref="AP1:AT1"/>
    <mergeCell ref="BB1:BF1"/>
    <mergeCell ref="BH1:BL1"/>
    <mergeCell ref="BM1:BM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4.43"/>
    <col customWidth="1" min="3" max="3" width="2.43"/>
    <col customWidth="1" min="4" max="6" width="2.14"/>
    <col customWidth="1" min="7" max="7" width="2.0"/>
    <col customWidth="1" min="8" max="8" width="4.43"/>
    <col customWidth="1" min="9" max="9" width="4.86"/>
    <col customWidth="1" min="10" max="10" width="4.14"/>
    <col customWidth="1" min="11" max="11" width="4.86"/>
    <col customWidth="1" min="12" max="12" width="4.29"/>
    <col customWidth="1" min="13" max="13" width="3.43"/>
    <col customWidth="1" min="14" max="14" width="4.29"/>
    <col customWidth="1" min="15" max="15" width="4.43"/>
    <col customWidth="1" min="16" max="16" width="2.43"/>
    <col customWidth="1" min="17" max="19" width="2.14"/>
    <col customWidth="1" min="20" max="20" width="2.0"/>
    <col customWidth="1" min="21" max="21" width="4.43"/>
    <col customWidth="1" min="22" max="22" width="4.86"/>
    <col customWidth="1" min="23" max="23" width="4.14"/>
    <col customWidth="1" min="24" max="24" width="4.86"/>
    <col customWidth="1" min="25" max="25" width="4.29"/>
    <col customWidth="1" min="26" max="26" width="3.43"/>
    <col customWidth="1" min="27" max="27" width="4.29"/>
    <col customWidth="1" min="28" max="28" width="4.43"/>
    <col customWidth="1" min="29" max="29" width="2.43"/>
    <col customWidth="1" min="30" max="32" width="2.14"/>
    <col customWidth="1" min="33" max="33" width="2.0"/>
    <col customWidth="1" min="34" max="34" width="4.43"/>
    <col customWidth="1" min="35" max="35" width="4.86"/>
    <col customWidth="1" min="36" max="36" width="4.14"/>
    <col customWidth="1" min="37" max="37" width="4.86"/>
    <col customWidth="1" min="38" max="38" width="4.29"/>
    <col customWidth="1" min="39" max="39" width="3.43"/>
    <col customWidth="1" min="40" max="40" width="4.29"/>
    <col customWidth="1" min="41" max="41" width="4.43"/>
    <col customWidth="1" min="42" max="42" width="2.43"/>
    <col customWidth="1" min="43" max="45" width="2.14"/>
    <col customWidth="1" min="46" max="46" width="2.0"/>
    <col customWidth="1" min="47" max="47" width="4.43"/>
    <col customWidth="1" min="48" max="48" width="4.86"/>
    <col customWidth="1" min="49" max="49" width="4.14"/>
    <col customWidth="1" min="50" max="50" width="4.86"/>
    <col customWidth="1" min="51" max="51" width="4.29"/>
    <col customWidth="1" min="52" max="52" width="3.43"/>
    <col customWidth="1" min="53" max="53" width="4.29"/>
    <col customWidth="1" min="54" max="54" width="4.43"/>
    <col customWidth="1" min="55" max="55" width="2.43"/>
    <col customWidth="1" min="56" max="58" width="2.14"/>
    <col customWidth="1" min="59" max="59" width="2.0"/>
    <col customWidth="1" min="60" max="60" width="4.43"/>
    <col customWidth="1" min="61" max="61" width="4.86"/>
    <col customWidth="1" min="62" max="62" width="4.14"/>
    <col customWidth="1" min="63" max="63" width="2.43"/>
    <col customWidth="1" min="64" max="66" width="2.14"/>
    <col customWidth="1" min="67" max="67" width="2.0"/>
    <col customWidth="1" min="68" max="68" width="4.43"/>
    <col customWidth="1" min="69" max="69" width="2.43"/>
    <col customWidth="1" min="70" max="70" width="2.0"/>
    <col customWidth="1" min="71" max="72" width="3.0"/>
    <col customWidth="1" min="73" max="73" width="2.14"/>
    <col customWidth="1" min="74" max="75" width="8.57"/>
    <col customWidth="1" min="76" max="76" width="4.57"/>
  </cols>
  <sheetData>
    <row r="1">
      <c r="A1" s="1" t="s">
        <v>0</v>
      </c>
      <c r="B1" s="3" t="s">
        <v>4</v>
      </c>
      <c r="C1" s="4" t="s">
        <v>5</v>
      </c>
      <c r="D1" s="5"/>
      <c r="E1" s="5"/>
      <c r="F1" s="5"/>
      <c r="G1" s="6"/>
      <c r="H1" s="7" t="s">
        <v>6</v>
      </c>
      <c r="I1" s="2" t="s">
        <v>7</v>
      </c>
      <c r="J1" s="2" t="s">
        <v>8</v>
      </c>
      <c r="K1" s="2" t="s">
        <v>9</v>
      </c>
      <c r="L1" s="2" t="s">
        <v>1</v>
      </c>
      <c r="M1" s="2" t="s">
        <v>2</v>
      </c>
      <c r="N1" s="3" t="s">
        <v>3</v>
      </c>
      <c r="O1" s="3" t="s">
        <v>4</v>
      </c>
      <c r="P1" s="4" t="s">
        <v>5</v>
      </c>
      <c r="Q1" s="5"/>
      <c r="R1" s="5"/>
      <c r="S1" s="5"/>
      <c r="T1" s="6"/>
      <c r="U1" s="7" t="s">
        <v>6</v>
      </c>
      <c r="V1" s="2" t="s">
        <v>7</v>
      </c>
      <c r="W1" s="2" t="s">
        <v>8</v>
      </c>
      <c r="X1" s="2" t="s">
        <v>9</v>
      </c>
      <c r="Y1" s="2" t="s">
        <v>1</v>
      </c>
      <c r="Z1" s="2" t="s">
        <v>2</v>
      </c>
      <c r="AA1" s="3" t="s">
        <v>3</v>
      </c>
      <c r="AB1" s="3" t="s">
        <v>4</v>
      </c>
      <c r="AC1" s="4" t="s">
        <v>5</v>
      </c>
      <c r="AD1" s="5"/>
      <c r="AE1" s="5"/>
      <c r="AF1" s="5"/>
      <c r="AG1" s="6"/>
      <c r="AH1" s="7" t="s">
        <v>6</v>
      </c>
      <c r="AI1" s="2" t="s">
        <v>7</v>
      </c>
      <c r="AJ1" s="2" t="s">
        <v>8</v>
      </c>
      <c r="AK1" s="2" t="s">
        <v>9</v>
      </c>
      <c r="AL1" s="2" t="s">
        <v>1</v>
      </c>
      <c r="AM1" s="2" t="s">
        <v>2</v>
      </c>
      <c r="AN1" s="3" t="s">
        <v>3</v>
      </c>
      <c r="AO1" s="3" t="s">
        <v>4</v>
      </c>
      <c r="AP1" s="4" t="s">
        <v>5</v>
      </c>
      <c r="AQ1" s="5"/>
      <c r="AR1" s="5"/>
      <c r="AS1" s="5"/>
      <c r="AT1" s="6"/>
      <c r="AU1" s="7" t="s">
        <v>6</v>
      </c>
      <c r="AV1" s="2" t="s">
        <v>7</v>
      </c>
      <c r="AW1" s="2" t="s">
        <v>8</v>
      </c>
      <c r="AX1" s="2" t="s">
        <v>9</v>
      </c>
      <c r="AY1" s="2" t="s">
        <v>1</v>
      </c>
      <c r="AZ1" s="2" t="s">
        <v>2</v>
      </c>
      <c r="BA1" s="3" t="s">
        <v>3</v>
      </c>
      <c r="BB1" s="3" t="s">
        <v>4</v>
      </c>
      <c r="BC1" s="4" t="s">
        <v>5</v>
      </c>
      <c r="BD1" s="5"/>
      <c r="BE1" s="5"/>
      <c r="BF1" s="5"/>
      <c r="BG1" s="6"/>
      <c r="BH1" s="7" t="s">
        <v>6</v>
      </c>
      <c r="BI1" s="2" t="s">
        <v>7</v>
      </c>
      <c r="BJ1" s="2" t="s">
        <v>8</v>
      </c>
      <c r="BK1" s="4" t="s">
        <v>5</v>
      </c>
      <c r="BL1" s="5"/>
      <c r="BM1" s="5"/>
      <c r="BN1" s="5"/>
      <c r="BO1" s="6"/>
      <c r="BP1" s="7" t="s">
        <v>6</v>
      </c>
      <c r="BQ1" s="8" t="s">
        <v>5</v>
      </c>
      <c r="BR1" s="5"/>
      <c r="BS1" s="5"/>
      <c r="BT1" s="5"/>
      <c r="BU1" s="6"/>
      <c r="BV1" s="9" t="s">
        <v>10</v>
      </c>
      <c r="BW1" s="9" t="s">
        <v>11</v>
      </c>
      <c r="BX1" s="10" t="s">
        <v>12</v>
      </c>
    </row>
    <row r="2">
      <c r="A2" s="11" t="s">
        <v>13</v>
      </c>
      <c r="B2" s="12">
        <v>1.0</v>
      </c>
      <c r="C2" s="13" t="s">
        <v>14</v>
      </c>
      <c r="D2" s="13" t="s">
        <v>15</v>
      </c>
      <c r="E2" s="13" t="s">
        <v>16</v>
      </c>
      <c r="F2" s="13" t="s">
        <v>17</v>
      </c>
      <c r="G2" s="13" t="s">
        <v>18</v>
      </c>
      <c r="H2" s="14"/>
      <c r="I2" s="11">
        <v>2.0</v>
      </c>
      <c r="J2" s="11">
        <v>3.0</v>
      </c>
      <c r="K2" s="11">
        <v>4.0</v>
      </c>
      <c r="L2" s="11">
        <v>5.0</v>
      </c>
      <c r="M2" s="11">
        <v>6.0</v>
      </c>
      <c r="N2" s="12">
        <v>7.0</v>
      </c>
      <c r="O2" s="12">
        <v>8.0</v>
      </c>
      <c r="P2" s="13" t="s">
        <v>14</v>
      </c>
      <c r="Q2" s="13" t="s">
        <v>15</v>
      </c>
      <c r="R2" s="13" t="s">
        <v>16</v>
      </c>
      <c r="S2" s="13" t="s">
        <v>17</v>
      </c>
      <c r="T2" s="13" t="s">
        <v>18</v>
      </c>
      <c r="U2" s="14"/>
      <c r="V2" s="11">
        <v>9.0</v>
      </c>
      <c r="W2" s="11">
        <v>10.0</v>
      </c>
      <c r="X2" s="11">
        <v>11.0</v>
      </c>
      <c r="Y2" s="11">
        <v>12.0</v>
      </c>
      <c r="Z2" s="11">
        <v>13.0</v>
      </c>
      <c r="AA2" s="12">
        <v>14.0</v>
      </c>
      <c r="AB2" s="12">
        <v>15.0</v>
      </c>
      <c r="AC2" s="13" t="s">
        <v>14</v>
      </c>
      <c r="AD2" s="13" t="s">
        <v>15</v>
      </c>
      <c r="AE2" s="13" t="s">
        <v>16</v>
      </c>
      <c r="AF2" s="13" t="s">
        <v>17</v>
      </c>
      <c r="AG2" s="13" t="s">
        <v>18</v>
      </c>
      <c r="AH2" s="14"/>
      <c r="AI2" s="11">
        <v>16.0</v>
      </c>
      <c r="AJ2" s="11">
        <v>17.0</v>
      </c>
      <c r="AK2" s="11">
        <v>18.0</v>
      </c>
      <c r="AL2" s="11">
        <v>19.0</v>
      </c>
      <c r="AM2" s="11">
        <v>20.0</v>
      </c>
      <c r="AN2" s="12">
        <v>21.0</v>
      </c>
      <c r="AO2" s="12">
        <v>22.0</v>
      </c>
      <c r="AP2" s="13" t="s">
        <v>14</v>
      </c>
      <c r="AQ2" s="13" t="s">
        <v>15</v>
      </c>
      <c r="AR2" s="13" t="s">
        <v>16</v>
      </c>
      <c r="AS2" s="13" t="s">
        <v>17</v>
      </c>
      <c r="AT2" s="13" t="s">
        <v>18</v>
      </c>
      <c r="AU2" s="14"/>
      <c r="AV2" s="11">
        <v>23.0</v>
      </c>
      <c r="AW2" s="11">
        <v>24.0</v>
      </c>
      <c r="AX2" s="11">
        <v>25.0</v>
      </c>
      <c r="AY2" s="11">
        <v>26.0</v>
      </c>
      <c r="AZ2" s="11">
        <v>27.0</v>
      </c>
      <c r="BA2" s="12">
        <v>28.0</v>
      </c>
      <c r="BB2" s="12">
        <v>29.0</v>
      </c>
      <c r="BC2" s="13" t="s">
        <v>14</v>
      </c>
      <c r="BD2" s="13" t="s">
        <v>15</v>
      </c>
      <c r="BE2" s="13" t="s">
        <v>16</v>
      </c>
      <c r="BF2" s="13" t="s">
        <v>17</v>
      </c>
      <c r="BG2" s="13" t="s">
        <v>18</v>
      </c>
      <c r="BH2" s="14"/>
      <c r="BI2" s="11">
        <v>30.0</v>
      </c>
      <c r="BJ2" s="11">
        <v>31.0</v>
      </c>
      <c r="BK2" s="13" t="s">
        <v>14</v>
      </c>
      <c r="BL2" s="13" t="s">
        <v>15</v>
      </c>
      <c r="BM2" s="13" t="s">
        <v>16</v>
      </c>
      <c r="BN2" s="13" t="s">
        <v>17</v>
      </c>
      <c r="BO2" s="13" t="s">
        <v>18</v>
      </c>
      <c r="BP2" s="14"/>
      <c r="BQ2" s="15" t="s">
        <v>14</v>
      </c>
      <c r="BR2" s="15" t="s">
        <v>19</v>
      </c>
      <c r="BS2" s="15" t="s">
        <v>18</v>
      </c>
      <c r="BT2" s="15" t="s">
        <v>16</v>
      </c>
      <c r="BU2" s="15" t="s">
        <v>17</v>
      </c>
      <c r="BV2" s="16"/>
      <c r="BW2" s="16"/>
      <c r="BX2" s="16"/>
    </row>
    <row r="3">
      <c r="A3" s="17" t="s">
        <v>20</v>
      </c>
      <c r="B3" s="19" t="s">
        <v>21</v>
      </c>
      <c r="C3" s="20">
        <v>0.0</v>
      </c>
      <c r="D3" s="20">
        <v>0.0</v>
      </c>
      <c r="E3" s="20">
        <v>0.0</v>
      </c>
      <c r="F3" s="20">
        <v>0.0</v>
      </c>
      <c r="G3" s="20">
        <v>0.0</v>
      </c>
      <c r="H3" s="14">
        <f>(7*C3)+(7*D3)+(12*E3)+(9*F3)+(12*G3)</f>
        <v>0</v>
      </c>
      <c r="I3" s="17" t="s">
        <v>18</v>
      </c>
      <c r="J3" s="17" t="s">
        <v>18</v>
      </c>
      <c r="K3" s="17" t="s">
        <v>18</v>
      </c>
      <c r="L3" s="17" t="s">
        <v>18</v>
      </c>
      <c r="M3" s="18" t="s">
        <v>21</v>
      </c>
      <c r="N3" s="19" t="s">
        <v>21</v>
      </c>
      <c r="O3" s="19" t="s">
        <v>21</v>
      </c>
      <c r="P3" s="20">
        <v>0.0</v>
      </c>
      <c r="Q3" s="20">
        <v>0.0</v>
      </c>
      <c r="R3" s="20">
        <v>0.0</v>
      </c>
      <c r="S3" s="20">
        <v>0.0</v>
      </c>
      <c r="T3" s="20">
        <v>4.0</v>
      </c>
      <c r="U3" s="14">
        <f>(7*P3)+(7*Q3)+(12*R3)+(9*S3)+(12*T3)</f>
        <v>48</v>
      </c>
      <c r="V3" s="17" t="s">
        <v>18</v>
      </c>
      <c r="W3" s="17" t="s">
        <v>18</v>
      </c>
      <c r="X3" s="17" t="s">
        <v>18</v>
      </c>
      <c r="Y3" s="17" t="s">
        <v>18</v>
      </c>
      <c r="Z3" s="18" t="s">
        <v>21</v>
      </c>
      <c r="AA3" s="19" t="s">
        <v>21</v>
      </c>
      <c r="AB3" s="19" t="s">
        <v>21</v>
      </c>
      <c r="AC3" s="20">
        <v>0.0</v>
      </c>
      <c r="AD3" s="20">
        <v>0.0</v>
      </c>
      <c r="AE3" s="20">
        <v>0.0</v>
      </c>
      <c r="AF3" s="20">
        <v>0.0</v>
      </c>
      <c r="AG3" s="20">
        <v>4.0</v>
      </c>
      <c r="AH3" s="14">
        <f>(7*AC3)+(7*AD3)+(12*AE3)+(9*AF3)+(12*AG3)</f>
        <v>48</v>
      </c>
      <c r="AI3" s="17" t="s">
        <v>18</v>
      </c>
      <c r="AJ3" s="17" t="s">
        <v>18</v>
      </c>
      <c r="AK3" s="17" t="s">
        <v>18</v>
      </c>
      <c r="AL3" s="17" t="s">
        <v>18</v>
      </c>
      <c r="AM3" s="18" t="s">
        <v>21</v>
      </c>
      <c r="AN3" s="19" t="s">
        <v>21</v>
      </c>
      <c r="AO3" s="19" t="s">
        <v>21</v>
      </c>
      <c r="AP3" s="20">
        <v>0.0</v>
      </c>
      <c r="AQ3" s="20">
        <v>0.0</v>
      </c>
      <c r="AR3" s="20">
        <v>0.0</v>
      </c>
      <c r="AS3" s="20">
        <v>0.0</v>
      </c>
      <c r="AT3" s="20">
        <v>4.0</v>
      </c>
      <c r="AU3" s="14">
        <f>(7*AP3)+(7*AQ3)+(12*AR3)+(9*AS3)+(12*AT3)</f>
        <v>48</v>
      </c>
      <c r="AV3" s="17" t="s">
        <v>18</v>
      </c>
      <c r="AW3" s="17" t="s">
        <v>18</v>
      </c>
      <c r="AX3" s="17" t="s">
        <v>18</v>
      </c>
      <c r="AY3" s="17" t="s">
        <v>18</v>
      </c>
      <c r="AZ3" s="18" t="s">
        <v>21</v>
      </c>
      <c r="BA3" s="19" t="s">
        <v>21</v>
      </c>
      <c r="BB3" s="19" t="s">
        <v>21</v>
      </c>
      <c r="BC3" s="20">
        <v>0.0</v>
      </c>
      <c r="BD3" s="20">
        <v>0.0</v>
      </c>
      <c r="BE3" s="20">
        <v>0.0</v>
      </c>
      <c r="BF3" s="20">
        <v>0.0</v>
      </c>
      <c r="BG3" s="20">
        <v>4.0</v>
      </c>
      <c r="BH3" s="14">
        <f>(7*BC3)+(7*BD3)+(12*BE3)+(9*BF3)+(12*BG3)</f>
        <v>48</v>
      </c>
      <c r="BI3" s="17" t="s">
        <v>18</v>
      </c>
      <c r="BJ3" s="17" t="s">
        <v>18</v>
      </c>
      <c r="BK3" s="20">
        <v>0.0</v>
      </c>
      <c r="BL3" s="20">
        <v>0.0</v>
      </c>
      <c r="BM3" s="20">
        <v>0.0</v>
      </c>
      <c r="BN3" s="20">
        <v>0.0</v>
      </c>
      <c r="BO3" s="20">
        <v>2.0</v>
      </c>
      <c r="BP3" s="14">
        <f>(7*BK3)+(7*BL3)+(12*BM3)+(9*BN3)+(12*BO3)</f>
        <v>24</v>
      </c>
      <c r="BQ3" s="21">
        <f t="shared" ref="BQ3:BR3" si="1">SUM(C3,P3,AC3,AP3,BC3)</f>
        <v>0</v>
      </c>
      <c r="BR3" s="21">
        <f t="shared" si="1"/>
        <v>0</v>
      </c>
      <c r="BS3" s="21">
        <f t="shared" ref="BS3:BS4" si="4">SUM(G3,T3,AG3,AT3,BG3,BO3)</f>
        <v>18</v>
      </c>
      <c r="BT3" s="21">
        <f t="shared" ref="BT3:BU3" si="2">SUM(E3,R3,AE3,AR3,BE3)</f>
        <v>0</v>
      </c>
      <c r="BU3" s="21">
        <f t="shared" si="2"/>
        <v>0</v>
      </c>
      <c r="BV3" s="17">
        <f t="shared" ref="BV3:BV4" si="5">SUM(BQ3:BU3)</f>
        <v>18</v>
      </c>
      <c r="BW3" s="17">
        <f t="shared" ref="BW3:BW4" si="6">SUM(H3,U3,AH3,AU3,BH3)</f>
        <v>192</v>
      </c>
      <c r="BX3" s="17">
        <f t="shared" ref="BX3:BX4" si="7">BW3-180</f>
        <v>12</v>
      </c>
    </row>
    <row r="4">
      <c r="A4" s="17" t="s">
        <v>22</v>
      </c>
      <c r="B4" s="19" t="s">
        <v>21</v>
      </c>
      <c r="C4" s="20">
        <v>0.0</v>
      </c>
      <c r="D4" s="20">
        <v>0.0</v>
      </c>
      <c r="E4" s="20">
        <v>0.0</v>
      </c>
      <c r="F4" s="20">
        <v>0.0</v>
      </c>
      <c r="G4" s="20">
        <v>0.0</v>
      </c>
      <c r="H4" s="14">
        <f>(7*C4)+(7*D4)+(12*E4)+(8*F4)+(12*G4)</f>
        <v>0</v>
      </c>
      <c r="I4" s="23" t="s">
        <v>16</v>
      </c>
      <c r="J4" s="23" t="s">
        <v>16</v>
      </c>
      <c r="K4" s="23" t="s">
        <v>16</v>
      </c>
      <c r="L4" s="18" t="s">
        <v>21</v>
      </c>
      <c r="M4" s="18" t="s">
        <v>21</v>
      </c>
      <c r="N4" s="19" t="s">
        <v>21</v>
      </c>
      <c r="O4" s="19" t="s">
        <v>21</v>
      </c>
      <c r="P4" s="20">
        <v>0.0</v>
      </c>
      <c r="Q4" s="20">
        <v>0.0</v>
      </c>
      <c r="R4" s="20">
        <v>3.0</v>
      </c>
      <c r="S4" s="20">
        <v>0.0</v>
      </c>
      <c r="T4" s="20">
        <v>0.0</v>
      </c>
      <c r="U4" s="14">
        <f>(7*P4)+(7*Q4)+(12*R4)+(8*S4)+(12*T4)</f>
        <v>36</v>
      </c>
      <c r="V4" s="23" t="s">
        <v>16</v>
      </c>
      <c r="W4" s="23" t="s">
        <v>16</v>
      </c>
      <c r="X4" s="23" t="s">
        <v>16</v>
      </c>
      <c r="Y4" s="18" t="s">
        <v>21</v>
      </c>
      <c r="Z4" s="17" t="s">
        <v>18</v>
      </c>
      <c r="AA4" s="19" t="s">
        <v>21</v>
      </c>
      <c r="AB4" s="19" t="s">
        <v>21</v>
      </c>
      <c r="AC4" s="20">
        <v>0.0</v>
      </c>
      <c r="AD4" s="20">
        <v>0.0</v>
      </c>
      <c r="AE4" s="20">
        <v>3.0</v>
      </c>
      <c r="AF4" s="20">
        <v>0.0</v>
      </c>
      <c r="AG4" s="20">
        <v>1.0</v>
      </c>
      <c r="AH4" s="14">
        <f>(7*AC4)+(7*AD4)+(12*AE4)+(8*AF4)+(12*AG4)</f>
        <v>48</v>
      </c>
      <c r="AI4" s="23" t="s">
        <v>16</v>
      </c>
      <c r="AJ4" s="23" t="s">
        <v>16</v>
      </c>
      <c r="AK4" s="23" t="s">
        <v>16</v>
      </c>
      <c r="AL4" s="18" t="s">
        <v>21</v>
      </c>
      <c r="AM4" s="18" t="s">
        <v>21</v>
      </c>
      <c r="AN4" s="19" t="s">
        <v>21</v>
      </c>
      <c r="AO4" s="19" t="s">
        <v>21</v>
      </c>
      <c r="AP4" s="20">
        <v>0.0</v>
      </c>
      <c r="AQ4" s="20">
        <v>0.0</v>
      </c>
      <c r="AR4" s="20">
        <v>3.0</v>
      </c>
      <c r="AS4" s="20">
        <v>0.0</v>
      </c>
      <c r="AT4" s="20">
        <v>0.0</v>
      </c>
      <c r="AU4" s="14">
        <f>(7*AP4)+(7*AQ4)+(12*AR4)+(8*AS4)+(12*AT4)</f>
        <v>36</v>
      </c>
      <c r="AV4" s="23" t="s">
        <v>16</v>
      </c>
      <c r="AW4" s="23" t="s">
        <v>16</v>
      </c>
      <c r="AX4" s="23" t="s">
        <v>16</v>
      </c>
      <c r="AY4" s="18" t="s">
        <v>21</v>
      </c>
      <c r="AZ4" s="17" t="s">
        <v>18</v>
      </c>
      <c r="BA4" s="19" t="s">
        <v>21</v>
      </c>
      <c r="BB4" s="19" t="s">
        <v>21</v>
      </c>
      <c r="BC4" s="20">
        <v>0.0</v>
      </c>
      <c r="BD4" s="20">
        <v>0.0</v>
      </c>
      <c r="BE4" s="20">
        <v>3.0</v>
      </c>
      <c r="BF4" s="20">
        <v>0.0</v>
      </c>
      <c r="BG4" s="20">
        <v>1.0</v>
      </c>
      <c r="BH4" s="14">
        <f>(7*BC4)+(7*BD4)+(12*BE4)+(8*BF4)+(12*BG4)</f>
        <v>48</v>
      </c>
      <c r="BI4" s="23" t="s">
        <v>16</v>
      </c>
      <c r="BJ4" s="23" t="s">
        <v>16</v>
      </c>
      <c r="BK4" s="20">
        <v>0.0</v>
      </c>
      <c r="BL4" s="20">
        <v>0.0</v>
      </c>
      <c r="BM4" s="20">
        <v>2.0</v>
      </c>
      <c r="BN4" s="20">
        <v>0.0</v>
      </c>
      <c r="BO4" s="20">
        <v>0.0</v>
      </c>
      <c r="BP4" s="14">
        <f>(7*BK4)+(7*BL4)+(12*BM4)+(8*BN4)+(12*BO4)</f>
        <v>24</v>
      </c>
      <c r="BQ4" s="21">
        <f t="shared" ref="BQ4:BR4" si="3">SUM(C4,P4,AC4,AP4,BC4)</f>
        <v>0</v>
      </c>
      <c r="BR4" s="21">
        <f t="shared" si="3"/>
        <v>0</v>
      </c>
      <c r="BS4" s="21">
        <f t="shared" si="4"/>
        <v>2</v>
      </c>
      <c r="BT4" s="21">
        <f>SUM(E4,R4,AE4,AR4,BE4,BM4)</f>
        <v>14</v>
      </c>
      <c r="BU4" s="21">
        <f>SUM(F4,S4,AF4,AS4,BF4)</f>
        <v>0</v>
      </c>
      <c r="BV4" s="17">
        <f t="shared" si="5"/>
        <v>16</v>
      </c>
      <c r="BW4" s="17">
        <f t="shared" si="6"/>
        <v>168</v>
      </c>
      <c r="BX4" s="17">
        <f t="shared" si="7"/>
        <v>-12</v>
      </c>
    </row>
    <row r="5">
      <c r="A5" s="11" t="s">
        <v>24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5">
        <f>SUM(BW3:BW4)</f>
        <v>360</v>
      </c>
      <c r="BX5" s="24"/>
    </row>
    <row r="6">
      <c r="A6" s="26" t="s">
        <v>25</v>
      </c>
      <c r="B6" s="27" t="s">
        <v>16</v>
      </c>
      <c r="C6" s="28">
        <v>0.0</v>
      </c>
      <c r="D6" s="28">
        <v>0.0</v>
      </c>
      <c r="E6" s="28">
        <v>1.0</v>
      </c>
      <c r="F6" s="28">
        <v>0.0</v>
      </c>
      <c r="G6" s="28">
        <v>0.0</v>
      </c>
      <c r="H6" s="28">
        <f t="shared" ref="H6:H8" si="10">(7*C6)+(7*D6)+(12*E6)+(8*F6)+(12*G6)</f>
        <v>12</v>
      </c>
      <c r="I6" s="29" t="s">
        <v>21</v>
      </c>
      <c r="J6" s="29" t="s">
        <v>21</v>
      </c>
      <c r="K6" s="29" t="s">
        <v>21</v>
      </c>
      <c r="L6" s="27" t="s">
        <v>16</v>
      </c>
      <c r="M6" s="27" t="s">
        <v>16</v>
      </c>
      <c r="N6" s="27" t="s">
        <v>16</v>
      </c>
      <c r="O6" s="27" t="s">
        <v>16</v>
      </c>
      <c r="P6" s="28">
        <v>0.0</v>
      </c>
      <c r="Q6" s="28">
        <v>0.0</v>
      </c>
      <c r="R6" s="28">
        <v>4.0</v>
      </c>
      <c r="S6" s="28">
        <v>0.0</v>
      </c>
      <c r="T6" s="28">
        <v>0.0</v>
      </c>
      <c r="U6" s="28">
        <f t="shared" ref="U6:U8" si="11">(7*P6)+(7*Q6)+(12*R6)+(8*S6)+(12*T6)</f>
        <v>48</v>
      </c>
      <c r="V6" s="29" t="s">
        <v>21</v>
      </c>
      <c r="W6" s="29" t="s">
        <v>21</v>
      </c>
      <c r="X6" s="29" t="s">
        <v>21</v>
      </c>
      <c r="Y6" s="27" t="s">
        <v>16</v>
      </c>
      <c r="Z6" s="27" t="s">
        <v>16</v>
      </c>
      <c r="AA6" s="27" t="s">
        <v>16</v>
      </c>
      <c r="AB6" s="27" t="s">
        <v>16</v>
      </c>
      <c r="AC6" s="28">
        <v>0.0</v>
      </c>
      <c r="AD6" s="28">
        <v>0.0</v>
      </c>
      <c r="AE6" s="28">
        <v>4.0</v>
      </c>
      <c r="AF6" s="28">
        <v>0.0</v>
      </c>
      <c r="AG6" s="28">
        <v>0.0</v>
      </c>
      <c r="AH6" s="28">
        <f t="shared" ref="AH6:AH8" si="12">(7*AC6)+(7*AD6)+(12*AE6)+(8*AF6)+(12*AG6)</f>
        <v>48</v>
      </c>
      <c r="AI6" s="29" t="s">
        <v>21</v>
      </c>
      <c r="AJ6" s="29" t="s">
        <v>21</v>
      </c>
      <c r="AK6" s="29" t="s">
        <v>21</v>
      </c>
      <c r="AL6" s="27" t="s">
        <v>16</v>
      </c>
      <c r="AM6" s="27" t="s">
        <v>16</v>
      </c>
      <c r="AN6" s="27" t="s">
        <v>16</v>
      </c>
      <c r="AO6" s="27" t="s">
        <v>16</v>
      </c>
      <c r="AP6" s="28">
        <v>0.0</v>
      </c>
      <c r="AQ6" s="28">
        <v>0.0</v>
      </c>
      <c r="AR6" s="28">
        <v>4.0</v>
      </c>
      <c r="AS6" s="28">
        <v>0.0</v>
      </c>
      <c r="AT6" s="28">
        <v>0.0</v>
      </c>
      <c r="AU6" s="28">
        <f t="shared" ref="AU6:AU8" si="13">(7*AP6)+(7*AQ6)+(12*AR6)+(8*AS6)+(12*AT6)</f>
        <v>48</v>
      </c>
      <c r="AV6" s="29" t="s">
        <v>21</v>
      </c>
      <c r="AW6" s="29" t="s">
        <v>21</v>
      </c>
      <c r="AX6" s="29" t="s">
        <v>21</v>
      </c>
      <c r="AY6" s="27" t="s">
        <v>16</v>
      </c>
      <c r="AZ6" s="27" t="s">
        <v>16</v>
      </c>
      <c r="BA6" s="27" t="s">
        <v>16</v>
      </c>
      <c r="BB6" s="27" t="s">
        <v>16</v>
      </c>
      <c r="BC6" s="28">
        <v>0.0</v>
      </c>
      <c r="BD6" s="28">
        <v>0.0</v>
      </c>
      <c r="BE6" s="28">
        <v>4.0</v>
      </c>
      <c r="BF6" s="28">
        <v>0.0</v>
      </c>
      <c r="BG6" s="28">
        <v>0.0</v>
      </c>
      <c r="BH6" s="28">
        <f t="shared" ref="BH6:BH8" si="14">(7*BC6)+(7*BD6)+(12*BE6)+(8*BF6)+(12*BG6)</f>
        <v>48</v>
      </c>
      <c r="BI6" s="29" t="s">
        <v>21</v>
      </c>
      <c r="BJ6" s="29" t="s">
        <v>21</v>
      </c>
      <c r="BK6" s="28">
        <v>0.0</v>
      </c>
      <c r="BL6" s="28">
        <v>0.0</v>
      </c>
      <c r="BM6" s="28">
        <v>0.0</v>
      </c>
      <c r="BN6" s="28">
        <v>0.0</v>
      </c>
      <c r="BO6" s="28">
        <v>0.0</v>
      </c>
      <c r="BP6" s="28">
        <f t="shared" ref="BP6:BP8" si="15">(7*BK6)+(7*BL6)+(12*BM6)+(8*BN6)+(12*BO6)</f>
        <v>0</v>
      </c>
      <c r="BQ6" s="28">
        <f t="shared" ref="BQ6:BR6" si="8">SUM(C6,P6,AC6,AP6,BC6)</f>
        <v>0</v>
      </c>
      <c r="BR6" s="28">
        <f t="shared" si="8"/>
        <v>0</v>
      </c>
      <c r="BS6" s="28">
        <f t="shared" ref="BS6:BS8" si="17">SUM(G6,T6,AG6,AT6,BG6)</f>
        <v>0</v>
      </c>
      <c r="BT6" s="28">
        <f t="shared" ref="BT6:BU6" si="9">SUM(E6,R6,AE6,AR6,BE6)</f>
        <v>17</v>
      </c>
      <c r="BU6" s="28">
        <f t="shared" si="9"/>
        <v>0</v>
      </c>
      <c r="BV6" s="26">
        <f t="shared" ref="BV6:BV8" si="19">SUM(BQ6:BU6)</f>
        <v>17</v>
      </c>
      <c r="BW6" s="26">
        <f t="shared" ref="BW6:BW8" si="20">SUM(H6,U6,AH6,AU6,BH6)</f>
        <v>204</v>
      </c>
      <c r="BX6" s="26">
        <f t="shared" ref="BX6:BX8" si="21">BW6-180</f>
        <v>24</v>
      </c>
    </row>
    <row r="7">
      <c r="A7" s="26" t="s">
        <v>33</v>
      </c>
      <c r="B7" s="29" t="s">
        <v>21</v>
      </c>
      <c r="C7" s="28">
        <v>0.0</v>
      </c>
      <c r="D7" s="28">
        <v>0.0</v>
      </c>
      <c r="E7" s="28">
        <v>0.0</v>
      </c>
      <c r="F7" s="28">
        <v>0.0</v>
      </c>
      <c r="G7" s="28">
        <v>0.0</v>
      </c>
      <c r="H7" s="28">
        <f t="shared" si="10"/>
        <v>0</v>
      </c>
      <c r="I7" s="29" t="s">
        <v>21</v>
      </c>
      <c r="J7" s="29" t="s">
        <v>21</v>
      </c>
      <c r="K7" s="29" t="s">
        <v>21</v>
      </c>
      <c r="L7" s="29" t="s">
        <v>21</v>
      </c>
      <c r="M7" s="29" t="s">
        <v>21</v>
      </c>
      <c r="N7" s="26" t="s">
        <v>18</v>
      </c>
      <c r="O7" s="26" t="s">
        <v>18</v>
      </c>
      <c r="P7" s="28">
        <v>0.0</v>
      </c>
      <c r="Q7" s="28">
        <v>0.0</v>
      </c>
      <c r="R7" s="28">
        <v>0.0</v>
      </c>
      <c r="S7" s="28">
        <v>0.0</v>
      </c>
      <c r="T7" s="28">
        <v>2.0</v>
      </c>
      <c r="U7" s="28">
        <f t="shared" si="11"/>
        <v>24</v>
      </c>
      <c r="V7" s="29" t="s">
        <v>21</v>
      </c>
      <c r="W7" s="29" t="s">
        <v>21</v>
      </c>
      <c r="X7" s="29" t="s">
        <v>21</v>
      </c>
      <c r="Y7" s="29" t="s">
        <v>21</v>
      </c>
      <c r="Z7" s="29" t="s">
        <v>21</v>
      </c>
      <c r="AA7" s="29" t="s">
        <v>21</v>
      </c>
      <c r="AB7" s="29" t="s">
        <v>21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f t="shared" si="12"/>
        <v>0</v>
      </c>
      <c r="AI7" s="29" t="s">
        <v>21</v>
      </c>
      <c r="AJ7" s="29" t="s">
        <v>21</v>
      </c>
      <c r="AK7" s="29" t="s">
        <v>21</v>
      </c>
      <c r="AL7" s="29" t="s">
        <v>21</v>
      </c>
      <c r="AM7" s="29" t="s">
        <v>21</v>
      </c>
      <c r="AN7" s="26" t="s">
        <v>18</v>
      </c>
      <c r="AO7" s="26" t="s">
        <v>18</v>
      </c>
      <c r="AP7" s="28">
        <v>0.0</v>
      </c>
      <c r="AQ7" s="28">
        <v>0.0</v>
      </c>
      <c r="AR7" s="28">
        <v>0.0</v>
      </c>
      <c r="AS7" s="28">
        <v>0.0</v>
      </c>
      <c r="AT7" s="28">
        <v>2.0</v>
      </c>
      <c r="AU7" s="28">
        <f t="shared" si="13"/>
        <v>24</v>
      </c>
      <c r="AV7" s="29" t="s">
        <v>21</v>
      </c>
      <c r="AW7" s="29" t="s">
        <v>21</v>
      </c>
      <c r="AX7" s="29" t="s">
        <v>21</v>
      </c>
      <c r="AY7" s="29" t="s">
        <v>21</v>
      </c>
      <c r="AZ7" s="29" t="s">
        <v>21</v>
      </c>
      <c r="BA7" s="29" t="s">
        <v>21</v>
      </c>
      <c r="BB7" s="29" t="s">
        <v>21</v>
      </c>
      <c r="BC7" s="28">
        <v>0.0</v>
      </c>
      <c r="BD7" s="28">
        <v>0.0</v>
      </c>
      <c r="BE7" s="28">
        <v>0.0</v>
      </c>
      <c r="BF7" s="28">
        <v>0.0</v>
      </c>
      <c r="BG7" s="28">
        <v>0.0</v>
      </c>
      <c r="BH7" s="28">
        <f t="shared" si="14"/>
        <v>0</v>
      </c>
      <c r="BI7" s="29" t="s">
        <v>21</v>
      </c>
      <c r="BJ7" s="29" t="s">
        <v>21</v>
      </c>
      <c r="BK7" s="28">
        <v>0.0</v>
      </c>
      <c r="BL7" s="28">
        <v>0.0</v>
      </c>
      <c r="BM7" s="28">
        <v>0.0</v>
      </c>
      <c r="BN7" s="28">
        <v>0.0</v>
      </c>
      <c r="BO7" s="28">
        <v>0.0</v>
      </c>
      <c r="BP7" s="28">
        <f t="shared" si="15"/>
        <v>0</v>
      </c>
      <c r="BQ7" s="28">
        <f t="shared" ref="BQ7:BR7" si="16">SUM(C7,P7,AC7,AP7,BC7)</f>
        <v>0</v>
      </c>
      <c r="BR7" s="28">
        <f t="shared" si="16"/>
        <v>0</v>
      </c>
      <c r="BS7" s="28">
        <f t="shared" si="17"/>
        <v>4</v>
      </c>
      <c r="BT7" s="28">
        <f t="shared" ref="BT7:BU7" si="18">SUM(E7,R7,AE7,AR7,BE7)</f>
        <v>0</v>
      </c>
      <c r="BU7" s="28">
        <f t="shared" si="18"/>
        <v>0</v>
      </c>
      <c r="BV7" s="26">
        <f t="shared" si="19"/>
        <v>4</v>
      </c>
      <c r="BW7" s="26">
        <f t="shared" si="20"/>
        <v>48</v>
      </c>
      <c r="BX7" s="26">
        <f t="shared" si="21"/>
        <v>-132</v>
      </c>
    </row>
    <row r="8">
      <c r="A8" s="26" t="s">
        <v>27</v>
      </c>
      <c r="B8" s="26" t="s">
        <v>18</v>
      </c>
      <c r="C8" s="28">
        <v>0.0</v>
      </c>
      <c r="D8" s="28">
        <v>0.0</v>
      </c>
      <c r="E8" s="28">
        <v>0.0</v>
      </c>
      <c r="F8" s="28">
        <v>0.0</v>
      </c>
      <c r="G8" s="28">
        <v>1.0</v>
      </c>
      <c r="H8" s="28">
        <f t="shared" si="10"/>
        <v>12</v>
      </c>
      <c r="I8" s="29" t="s">
        <v>21</v>
      </c>
      <c r="J8" s="29" t="s">
        <v>21</v>
      </c>
      <c r="K8" s="29" t="s">
        <v>21</v>
      </c>
      <c r="L8" s="29" t="s">
        <v>21</v>
      </c>
      <c r="M8" s="26" t="s">
        <v>18</v>
      </c>
      <c r="N8" s="29" t="s">
        <v>21</v>
      </c>
      <c r="O8" s="29" t="s">
        <v>21</v>
      </c>
      <c r="P8" s="28">
        <v>0.0</v>
      </c>
      <c r="Q8" s="28">
        <v>0.0</v>
      </c>
      <c r="R8" s="28">
        <v>0.0</v>
      </c>
      <c r="S8" s="28">
        <v>0.0</v>
      </c>
      <c r="T8" s="28">
        <v>1.0</v>
      </c>
      <c r="U8" s="28">
        <f t="shared" si="11"/>
        <v>12</v>
      </c>
      <c r="V8" s="29" t="s">
        <v>21</v>
      </c>
      <c r="W8" s="29" t="s">
        <v>21</v>
      </c>
      <c r="X8" s="29" t="s">
        <v>21</v>
      </c>
      <c r="Y8" s="29" t="s">
        <v>21</v>
      </c>
      <c r="Z8" s="29" t="s">
        <v>21</v>
      </c>
      <c r="AA8" s="26" t="s">
        <v>18</v>
      </c>
      <c r="AB8" s="26" t="s">
        <v>18</v>
      </c>
      <c r="AC8" s="28">
        <v>0.0</v>
      </c>
      <c r="AD8" s="28">
        <v>0.0</v>
      </c>
      <c r="AE8" s="28">
        <v>0.0</v>
      </c>
      <c r="AF8" s="28">
        <v>0.0</v>
      </c>
      <c r="AG8" s="28">
        <v>2.0</v>
      </c>
      <c r="AH8" s="28">
        <f t="shared" si="12"/>
        <v>24</v>
      </c>
      <c r="AI8" s="29" t="s">
        <v>21</v>
      </c>
      <c r="AJ8" s="29" t="s">
        <v>21</v>
      </c>
      <c r="AK8" s="29" t="s">
        <v>21</v>
      </c>
      <c r="AL8" s="29" t="s">
        <v>21</v>
      </c>
      <c r="AM8" s="26" t="s">
        <v>18</v>
      </c>
      <c r="AN8" s="29" t="s">
        <v>21</v>
      </c>
      <c r="AO8" s="29" t="s">
        <v>21</v>
      </c>
      <c r="AP8" s="28">
        <v>0.0</v>
      </c>
      <c r="AQ8" s="28">
        <v>0.0</v>
      </c>
      <c r="AR8" s="28">
        <v>0.0</v>
      </c>
      <c r="AS8" s="28">
        <v>0.0</v>
      </c>
      <c r="AT8" s="28">
        <v>1.0</v>
      </c>
      <c r="AU8" s="28">
        <f t="shared" si="13"/>
        <v>12</v>
      </c>
      <c r="AV8" s="29" t="s">
        <v>21</v>
      </c>
      <c r="AW8" s="29" t="s">
        <v>21</v>
      </c>
      <c r="AX8" s="29" t="s">
        <v>21</v>
      </c>
      <c r="AY8" s="29" t="s">
        <v>21</v>
      </c>
      <c r="AZ8" s="29" t="s">
        <v>21</v>
      </c>
      <c r="BA8" s="26" t="s">
        <v>18</v>
      </c>
      <c r="BB8" s="26" t="s">
        <v>18</v>
      </c>
      <c r="BC8" s="28">
        <v>0.0</v>
      </c>
      <c r="BD8" s="28">
        <v>0.0</v>
      </c>
      <c r="BE8" s="28">
        <v>0.0</v>
      </c>
      <c r="BF8" s="28">
        <v>0.0</v>
      </c>
      <c r="BG8" s="28">
        <v>2.0</v>
      </c>
      <c r="BH8" s="28">
        <f t="shared" si="14"/>
        <v>24</v>
      </c>
      <c r="BI8" s="29" t="s">
        <v>21</v>
      </c>
      <c r="BJ8" s="29" t="s">
        <v>21</v>
      </c>
      <c r="BK8" s="28">
        <v>0.0</v>
      </c>
      <c r="BL8" s="28">
        <v>0.0</v>
      </c>
      <c r="BM8" s="28">
        <v>0.0</v>
      </c>
      <c r="BN8" s="28">
        <v>0.0</v>
      </c>
      <c r="BO8" s="28">
        <v>0.0</v>
      </c>
      <c r="BP8" s="28">
        <f t="shared" si="15"/>
        <v>0</v>
      </c>
      <c r="BQ8" s="28">
        <f t="shared" ref="BQ8:BR8" si="22">SUM(C8,P8,AC8,AP8,BC8)</f>
        <v>0</v>
      </c>
      <c r="BR8" s="28">
        <f t="shared" si="22"/>
        <v>0</v>
      </c>
      <c r="BS8" s="28">
        <f t="shared" si="17"/>
        <v>7</v>
      </c>
      <c r="BT8" s="28">
        <f t="shared" ref="BT8:BU8" si="23">SUM(E8,R8,AE8,AR8,BE8)</f>
        <v>0</v>
      </c>
      <c r="BU8" s="28">
        <f t="shared" si="23"/>
        <v>0</v>
      </c>
      <c r="BV8" s="26">
        <f t="shared" si="19"/>
        <v>7</v>
      </c>
      <c r="BW8" s="26">
        <f t="shared" si="20"/>
        <v>84</v>
      </c>
      <c r="BX8" s="26">
        <f t="shared" si="21"/>
        <v>-96</v>
      </c>
    </row>
    <row r="9">
      <c r="BQ9" s="30"/>
      <c r="BR9" s="30"/>
      <c r="BS9" s="30"/>
      <c r="BT9" s="30"/>
      <c r="BU9" s="30"/>
      <c r="BV9" s="31" t="s">
        <v>29</v>
      </c>
      <c r="BW9" s="32" t="str">
        <f>BW5+#REF!</f>
        <v>#REF!</v>
      </c>
      <c r="BX9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V1:BV2"/>
    <mergeCell ref="BW1:BW2"/>
    <mergeCell ref="BX1:BX2"/>
    <mergeCell ref="C1:G1"/>
    <mergeCell ref="P1:T1"/>
    <mergeCell ref="AC1:AG1"/>
    <mergeCell ref="AP1:AT1"/>
    <mergeCell ref="BC1:BG1"/>
    <mergeCell ref="BK1:BO1"/>
    <mergeCell ref="BQ1:BU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2023-12-10T04:14:25Z</dcterms:created>
  <dc:creator>Matilda Eyram Tettey</dc:creator>
</cp:coreProperties>
</file>