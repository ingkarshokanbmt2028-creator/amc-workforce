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A1F649A9-1B01-44A4-B979-9E134441107E}" xr6:coauthVersionLast="36" xr6:coauthVersionMax="36" xr10:uidLastSave="{00000000-0000-0000-0000-000000000000}"/>
  <bookViews>
    <workbookView xWindow="0" yWindow="0" windowWidth="24000" windowHeight="9630" activeTab="2" xr2:uid="{00000000-000D-0000-FFFF-FFFF00000000}"/>
  </bookViews>
  <sheets>
    <sheet name="JANUARY 2026" sheetId="8" r:id="rId1"/>
    <sheet name="Sheet1" sheetId="9" r:id="rId2"/>
    <sheet name="MACRH 2026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B18" i="10" l="1"/>
  <c r="BZ18" i="10"/>
  <c r="BZ16" i="10"/>
  <c r="BZ17" i="10"/>
  <c r="BZ19" i="10"/>
  <c r="CB17" i="10"/>
  <c r="CB19" i="10"/>
  <c r="CB16" i="10"/>
  <c r="BX16" i="10"/>
  <c r="BW16" i="10"/>
  <c r="BM19" i="10"/>
  <c r="BM18" i="10"/>
  <c r="BM17" i="10"/>
  <c r="BM16" i="10"/>
  <c r="BM15" i="10"/>
  <c r="BM14" i="10"/>
  <c r="BV19" i="10"/>
  <c r="BV18" i="10"/>
  <c r="BV17" i="10"/>
  <c r="BV16" i="10"/>
  <c r="BV15" i="10"/>
  <c r="BV14" i="10"/>
  <c r="CD15" i="10"/>
  <c r="CC15" i="10"/>
  <c r="BZ15" i="10"/>
  <c r="CA12" i="10"/>
  <c r="BX8" i="10"/>
  <c r="CB8" i="10"/>
  <c r="CB10" i="10"/>
  <c r="BX3" i="10"/>
  <c r="BX4" i="10"/>
  <c r="BX5" i="10"/>
  <c r="BX6" i="10"/>
  <c r="BX7" i="10"/>
  <c r="BX9" i="10"/>
  <c r="BX10" i="10"/>
  <c r="BX11" i="10"/>
  <c r="BX12" i="10"/>
  <c r="CB14" i="10"/>
  <c r="CA14" i="10"/>
  <c r="BZ14" i="10"/>
  <c r="BY14" i="10"/>
  <c r="BX14" i="10"/>
  <c r="BW14" i="10"/>
  <c r="AY14" i="10"/>
  <c r="AK14" i="10"/>
  <c r="W14" i="10"/>
  <c r="I14" i="10"/>
  <c r="CD14" i="10" s="1"/>
  <c r="CE14" i="10" s="1"/>
  <c r="BW7" i="10"/>
  <c r="CC18" i="10" l="1"/>
  <c r="CC14" i="10"/>
  <c r="BZ6" i="10" l="1"/>
  <c r="BZ5" i="10"/>
  <c r="BZ7" i="10"/>
  <c r="BZ8" i="10"/>
  <c r="BZ9" i="10"/>
  <c r="BZ10" i="10"/>
  <c r="BZ11" i="10"/>
  <c r="BZ12" i="10"/>
  <c r="BZ4" i="10"/>
  <c r="CB5" i="10"/>
  <c r="CB6" i="10"/>
  <c r="CB7" i="10"/>
  <c r="CB9" i="10"/>
  <c r="CB11" i="10"/>
  <c r="CB12" i="10"/>
  <c r="CB4" i="10"/>
  <c r="BY4" i="10"/>
  <c r="BY5" i="10"/>
  <c r="BY6" i="10"/>
  <c r="BY7" i="10"/>
  <c r="BY8" i="10"/>
  <c r="BY9" i="10"/>
  <c r="BY10" i="10"/>
  <c r="BY11" i="10"/>
  <c r="BY12" i="10"/>
  <c r="BY3" i="10"/>
  <c r="BV3" i="10"/>
  <c r="BV12" i="10"/>
  <c r="BV11" i="10"/>
  <c r="BV10" i="10"/>
  <c r="BV9" i="10"/>
  <c r="BV8" i="10"/>
  <c r="BV7" i="10"/>
  <c r="BV6" i="10"/>
  <c r="BV5" i="10"/>
  <c r="BV4" i="10"/>
  <c r="CA19" i="10"/>
  <c r="BY19" i="10"/>
  <c r="BX19" i="10"/>
  <c r="BW19" i="10"/>
  <c r="AY19" i="10"/>
  <c r="AK19" i="10"/>
  <c r="W19" i="10"/>
  <c r="I19" i="10"/>
  <c r="CA18" i="10"/>
  <c r="BY18" i="10"/>
  <c r="BX18" i="10"/>
  <c r="BW18" i="10"/>
  <c r="AY18" i="10"/>
  <c r="AK18" i="10"/>
  <c r="W18" i="10"/>
  <c r="I18" i="10"/>
  <c r="CA17" i="10"/>
  <c r="BY17" i="10"/>
  <c r="BX17" i="10"/>
  <c r="BW17" i="10"/>
  <c r="AY17" i="10"/>
  <c r="AK17" i="10"/>
  <c r="W17" i="10"/>
  <c r="I17" i="10"/>
  <c r="CA16" i="10"/>
  <c r="BY16" i="10"/>
  <c r="AY16" i="10"/>
  <c r="AK16" i="10"/>
  <c r="W16" i="10"/>
  <c r="I16" i="10"/>
  <c r="CB15" i="10"/>
  <c r="CA15" i="10"/>
  <c r="BY15" i="10"/>
  <c r="BX15" i="10"/>
  <c r="BW15" i="10"/>
  <c r="AY15" i="10"/>
  <c r="AK15" i="10"/>
  <c r="W15" i="10"/>
  <c r="I15" i="10"/>
  <c r="BW12" i="10"/>
  <c r="BM12" i="10"/>
  <c r="AY12" i="10"/>
  <c r="AK12" i="10"/>
  <c r="W12" i="10"/>
  <c r="I12" i="10"/>
  <c r="CA11" i="10"/>
  <c r="BW11" i="10"/>
  <c r="BM11" i="10"/>
  <c r="AY11" i="10"/>
  <c r="AK11" i="10"/>
  <c r="W11" i="10"/>
  <c r="I11" i="10"/>
  <c r="CA10" i="10"/>
  <c r="BW10" i="10"/>
  <c r="BM10" i="10"/>
  <c r="AY10" i="10"/>
  <c r="AK10" i="10"/>
  <c r="W10" i="10"/>
  <c r="I10" i="10"/>
  <c r="CA9" i="10"/>
  <c r="BW9" i="10"/>
  <c r="BM9" i="10"/>
  <c r="AY9" i="10"/>
  <c r="AK9" i="10"/>
  <c r="W9" i="10"/>
  <c r="I9" i="10"/>
  <c r="CA8" i="10"/>
  <c r="BW8" i="10"/>
  <c r="CC8" i="10" s="1"/>
  <c r="BM8" i="10"/>
  <c r="AY8" i="10"/>
  <c r="AK8" i="10"/>
  <c r="W8" i="10"/>
  <c r="I8" i="10"/>
  <c r="CA7" i="10"/>
  <c r="BM7" i="10"/>
  <c r="AY7" i="10"/>
  <c r="AK7" i="10"/>
  <c r="W7" i="10"/>
  <c r="I7" i="10"/>
  <c r="CA6" i="10"/>
  <c r="BW6" i="10"/>
  <c r="BM6" i="10"/>
  <c r="AY6" i="10"/>
  <c r="AK6" i="10"/>
  <c r="W6" i="10"/>
  <c r="I6" i="10"/>
  <c r="CA5" i="10"/>
  <c r="CC5" i="10"/>
  <c r="BW5" i="10"/>
  <c r="BM5" i="10"/>
  <c r="AY5" i="10"/>
  <c r="AK5" i="10"/>
  <c r="W5" i="10"/>
  <c r="I5" i="10"/>
  <c r="CA4" i="10"/>
  <c r="BW4" i="10"/>
  <c r="BM4" i="10"/>
  <c r="AY4" i="10"/>
  <c r="AK4" i="10"/>
  <c r="W4" i="10"/>
  <c r="I4" i="10"/>
  <c r="CB3" i="10"/>
  <c r="CA3" i="10"/>
  <c r="BZ3" i="10"/>
  <c r="BW3" i="10"/>
  <c r="BM3" i="10"/>
  <c r="AY3" i="10"/>
  <c r="AK3" i="10"/>
  <c r="W3" i="10"/>
  <c r="I3" i="10"/>
  <c r="BS19" i="9"/>
  <c r="BR19" i="9"/>
  <c r="BQ19" i="9"/>
  <c r="BP19" i="9"/>
  <c r="BT19" i="9" s="1"/>
  <c r="BO19" i="9"/>
  <c r="BN19" i="9"/>
  <c r="AY19" i="9"/>
  <c r="AK19" i="9"/>
  <c r="W19" i="9"/>
  <c r="I19" i="9"/>
  <c r="BS18" i="9"/>
  <c r="BR18" i="9"/>
  <c r="BQ18" i="9"/>
  <c r="BP18" i="9"/>
  <c r="BO18" i="9"/>
  <c r="BN18" i="9"/>
  <c r="BT18" i="9" s="1"/>
  <c r="AY18" i="9"/>
  <c r="AK18" i="9"/>
  <c r="W18" i="9"/>
  <c r="I18" i="9"/>
  <c r="BU18" i="9" s="1"/>
  <c r="BV18" i="9" s="1"/>
  <c r="BS17" i="9"/>
  <c r="BR17" i="9"/>
  <c r="BQ17" i="9"/>
  <c r="BP17" i="9"/>
  <c r="BO17" i="9"/>
  <c r="BN17" i="9"/>
  <c r="AY17" i="9"/>
  <c r="AK17" i="9"/>
  <c r="W17" i="9"/>
  <c r="I17" i="9"/>
  <c r="BS16" i="9"/>
  <c r="BR16" i="9"/>
  <c r="BQ16" i="9"/>
  <c r="BP16" i="9"/>
  <c r="BO16" i="9"/>
  <c r="BN16" i="9"/>
  <c r="AY16" i="9"/>
  <c r="AK16" i="9"/>
  <c r="W16" i="9"/>
  <c r="I16" i="9"/>
  <c r="BU16" i="9" s="1"/>
  <c r="BV16" i="9" s="1"/>
  <c r="BS15" i="9"/>
  <c r="BR15" i="9"/>
  <c r="BQ15" i="9"/>
  <c r="BP15" i="9"/>
  <c r="BT15" i="9" s="1"/>
  <c r="BO15" i="9"/>
  <c r="BN15" i="9"/>
  <c r="AY15" i="9"/>
  <c r="AK15" i="9"/>
  <c r="W15" i="9"/>
  <c r="I15" i="9"/>
  <c r="BS14" i="9"/>
  <c r="BR14" i="9"/>
  <c r="BQ14" i="9"/>
  <c r="BP14" i="9"/>
  <c r="BO14" i="9"/>
  <c r="BN14" i="9"/>
  <c r="BT14" i="9" s="1"/>
  <c r="BM14" i="9"/>
  <c r="AY14" i="9"/>
  <c r="AK14" i="9"/>
  <c r="W14" i="9"/>
  <c r="I14" i="9"/>
  <c r="BS12" i="9"/>
  <c r="BR12" i="9"/>
  <c r="BQ12" i="9"/>
  <c r="BP12" i="9"/>
  <c r="BO12" i="9"/>
  <c r="BN12" i="9"/>
  <c r="BM12" i="9"/>
  <c r="AY12" i="9"/>
  <c r="AK12" i="9"/>
  <c r="W12" i="9"/>
  <c r="I12" i="9"/>
  <c r="BU12" i="9" s="1"/>
  <c r="BV12" i="9" s="1"/>
  <c r="BS11" i="9"/>
  <c r="BR11" i="9"/>
  <c r="BQ11" i="9"/>
  <c r="BP11" i="9"/>
  <c r="BO11" i="9"/>
  <c r="BN11" i="9"/>
  <c r="BM11" i="9"/>
  <c r="AY11" i="9"/>
  <c r="AK11" i="9"/>
  <c r="W11" i="9"/>
  <c r="I11" i="9"/>
  <c r="BS10" i="9"/>
  <c r="BR10" i="9"/>
  <c r="BQ10" i="9"/>
  <c r="BP10" i="9"/>
  <c r="BO10" i="9"/>
  <c r="BN10" i="9"/>
  <c r="BM10" i="9"/>
  <c r="AY10" i="9"/>
  <c r="AK10" i="9"/>
  <c r="W10" i="9"/>
  <c r="I10" i="9"/>
  <c r="BS9" i="9"/>
  <c r="BR9" i="9"/>
  <c r="BQ9" i="9"/>
  <c r="BP9" i="9"/>
  <c r="BO9" i="9"/>
  <c r="BN9" i="9"/>
  <c r="BM9" i="9"/>
  <c r="AY9" i="9"/>
  <c r="AK9" i="9"/>
  <c r="W9" i="9"/>
  <c r="I9" i="9"/>
  <c r="BS8" i="9"/>
  <c r="BR8" i="9"/>
  <c r="BQ8" i="9"/>
  <c r="BP8" i="9"/>
  <c r="BO8" i="9"/>
  <c r="BN8" i="9"/>
  <c r="BM8" i="9"/>
  <c r="AY8" i="9"/>
  <c r="AK8" i="9"/>
  <c r="W8" i="9"/>
  <c r="I8" i="9"/>
  <c r="BU8" i="9" s="1"/>
  <c r="BV8" i="9" s="1"/>
  <c r="BS7" i="9"/>
  <c r="BR7" i="9"/>
  <c r="BQ7" i="9"/>
  <c r="BP7" i="9"/>
  <c r="BO7" i="9"/>
  <c r="BN7" i="9"/>
  <c r="BM7" i="9"/>
  <c r="AY7" i="9"/>
  <c r="AK7" i="9"/>
  <c r="W7" i="9"/>
  <c r="I7" i="9"/>
  <c r="BS6" i="9"/>
  <c r="BR6" i="9"/>
  <c r="BQ6" i="9"/>
  <c r="BP6" i="9"/>
  <c r="BO6" i="9"/>
  <c r="BN6" i="9"/>
  <c r="BM6" i="9"/>
  <c r="AY6" i="9"/>
  <c r="AK6" i="9"/>
  <c r="W6" i="9"/>
  <c r="I6" i="9"/>
  <c r="BS5" i="9"/>
  <c r="BR5" i="9"/>
  <c r="BQ5" i="9"/>
  <c r="BP5" i="9"/>
  <c r="BO5" i="9"/>
  <c r="BN5" i="9"/>
  <c r="BT5" i="9" s="1"/>
  <c r="BM5" i="9"/>
  <c r="AY5" i="9"/>
  <c r="AK5" i="9"/>
  <c r="W5" i="9"/>
  <c r="I5" i="9"/>
  <c r="BS4" i="9"/>
  <c r="BR4" i="9"/>
  <c r="BQ4" i="9"/>
  <c r="BP4" i="9"/>
  <c r="BO4" i="9"/>
  <c r="BN4" i="9"/>
  <c r="BM4" i="9"/>
  <c r="AY4" i="9"/>
  <c r="AK4" i="9"/>
  <c r="W4" i="9"/>
  <c r="I4" i="9"/>
  <c r="BU4" i="9" s="1"/>
  <c r="BV4" i="9" s="1"/>
  <c r="BS3" i="9"/>
  <c r="BR3" i="9"/>
  <c r="BQ3" i="9"/>
  <c r="BP3" i="9"/>
  <c r="BO3" i="9"/>
  <c r="BN3" i="9"/>
  <c r="BM3" i="9"/>
  <c r="AY3" i="9"/>
  <c r="AK3" i="9"/>
  <c r="W3" i="9"/>
  <c r="I3" i="9"/>
  <c r="CD19" i="10" l="1"/>
  <c r="CE19" i="10" s="1"/>
  <c r="CE15" i="10"/>
  <c r="CD11" i="10"/>
  <c r="CE11" i="10" s="1"/>
  <c r="CD17" i="10"/>
  <c r="CE17" i="10" s="1"/>
  <c r="CC19" i="10"/>
  <c r="CD3" i="10"/>
  <c r="CD5" i="10"/>
  <c r="CD6" i="10"/>
  <c r="CE6" i="10" s="1"/>
  <c r="CD9" i="10"/>
  <c r="CE9" i="10" s="1"/>
  <c r="CC10" i="10"/>
  <c r="CC17" i="10"/>
  <c r="CD7" i="10"/>
  <c r="CE7" i="10" s="1"/>
  <c r="CD10" i="10"/>
  <c r="CD16" i="10"/>
  <c r="CE16" i="10" s="1"/>
  <c r="CC16" i="10"/>
  <c r="CD4" i="10"/>
  <c r="CD8" i="10"/>
  <c r="CD12" i="10"/>
  <c r="CD18" i="10"/>
  <c r="CE18" i="10" s="1"/>
  <c r="CC9" i="10"/>
  <c r="CE12" i="10"/>
  <c r="CC12" i="10"/>
  <c r="CE10" i="10"/>
  <c r="CE8" i="10"/>
  <c r="CC6" i="10"/>
  <c r="CE5" i="10"/>
  <c r="CC4" i="10"/>
  <c r="CE4" i="10"/>
  <c r="CC7" i="10"/>
  <c r="CC11" i="10"/>
  <c r="CE3" i="10"/>
  <c r="CC3" i="10"/>
  <c r="BT9" i="9"/>
  <c r="BU7" i="9"/>
  <c r="BV7" i="9" s="1"/>
  <c r="BU11" i="9"/>
  <c r="BV11" i="9" s="1"/>
  <c r="BU19" i="9"/>
  <c r="BV19" i="9" s="1"/>
  <c r="BT3" i="9"/>
  <c r="BT4" i="9"/>
  <c r="BU6" i="9"/>
  <c r="BV6" i="9" s="1"/>
  <c r="BT7" i="9"/>
  <c r="BU10" i="9"/>
  <c r="BV10" i="9" s="1"/>
  <c r="BT11" i="9"/>
  <c r="BT16" i="9"/>
  <c r="BU17" i="9"/>
  <c r="BV17" i="9" s="1"/>
  <c r="BT17" i="9"/>
  <c r="BU3" i="9"/>
  <c r="BV3" i="9" s="1"/>
  <c r="BT6" i="9"/>
  <c r="BT10" i="9"/>
  <c r="BU15" i="9"/>
  <c r="BV15" i="9" s="1"/>
  <c r="BU5" i="9"/>
  <c r="BV5" i="9" s="1"/>
  <c r="BT8" i="9"/>
  <c r="BU9" i="9"/>
  <c r="BV9" i="9" s="1"/>
  <c r="BT12" i="9"/>
  <c r="BU14" i="9"/>
  <c r="BV14" i="9" s="1"/>
  <c r="BW13" i="8"/>
  <c r="BW20" i="8"/>
  <c r="CD20" i="10" l="1"/>
  <c r="CD13" i="10"/>
  <c r="BU20" i="9"/>
  <c r="BU13" i="9"/>
  <c r="BU4" i="8"/>
  <c r="BT4" i="8"/>
  <c r="BS4" i="8"/>
  <c r="BR4" i="8"/>
  <c r="BQ4" i="8"/>
  <c r="BP4" i="8"/>
  <c r="BO4" i="8"/>
  <c r="BB4" i="8"/>
  <c r="AN4" i="8"/>
  <c r="Z4" i="8"/>
  <c r="L4" i="8"/>
  <c r="CD21" i="10" l="1"/>
  <c r="BU21" i="9"/>
  <c r="BW4" i="8"/>
  <c r="BX4" i="8" s="1"/>
  <c r="BV4" i="8"/>
  <c r="BS15" i="8" l="1"/>
  <c r="BO12" i="8" l="1"/>
  <c r="BO11" i="8"/>
  <c r="BO10" i="8"/>
  <c r="BO9" i="8"/>
  <c r="BO8" i="8"/>
  <c r="BO7" i="8"/>
  <c r="BO6" i="8"/>
  <c r="BO5" i="8"/>
  <c r="BO14" i="8"/>
  <c r="BO3" i="8"/>
  <c r="Z12" i="8" l="1"/>
  <c r="L12" i="8"/>
  <c r="BP12" i="8"/>
  <c r="BQ12" i="8"/>
  <c r="BR12" i="8"/>
  <c r="BS12" i="8"/>
  <c r="BT12" i="8"/>
  <c r="BU12" i="8"/>
  <c r="BB12" i="8"/>
  <c r="AN12" i="8"/>
  <c r="BW12" i="8" l="1"/>
  <c r="BX12" i="8" s="1"/>
  <c r="BV12" i="8"/>
  <c r="BU16" i="8"/>
  <c r="BT16" i="8"/>
  <c r="BS16" i="8"/>
  <c r="BR16" i="8"/>
  <c r="BQ16" i="8"/>
  <c r="BP16" i="8"/>
  <c r="BB16" i="8"/>
  <c r="AN16" i="8"/>
  <c r="Z16" i="8"/>
  <c r="L16" i="8"/>
  <c r="BU15" i="8"/>
  <c r="BT15" i="8"/>
  <c r="BR15" i="8"/>
  <c r="BQ15" i="8"/>
  <c r="BP15" i="8"/>
  <c r="BB15" i="8"/>
  <c r="AN15" i="8"/>
  <c r="Z15" i="8"/>
  <c r="L15" i="8"/>
  <c r="BW16" i="8" l="1"/>
  <c r="BX16" i="8" s="1"/>
  <c r="BV16" i="8"/>
  <c r="BW15" i="8"/>
  <c r="BX15" i="8" s="1"/>
  <c r="BV15" i="8"/>
  <c r="AN3" i="8"/>
  <c r="BU14" i="8" l="1"/>
  <c r="BU5" i="8"/>
  <c r="BU6" i="8"/>
  <c r="BU7" i="8"/>
  <c r="BU8" i="8"/>
  <c r="BU9" i="8"/>
  <c r="BU10" i="8"/>
  <c r="BU11" i="8"/>
  <c r="BU17" i="8"/>
  <c r="BU18" i="8"/>
  <c r="BU19" i="8"/>
  <c r="BS3" i="8"/>
  <c r="BU3" i="8"/>
  <c r="BT14" i="8"/>
  <c r="BT5" i="8"/>
  <c r="BT6" i="8"/>
  <c r="BT7" i="8"/>
  <c r="BT8" i="8"/>
  <c r="BT9" i="8"/>
  <c r="BT10" i="8"/>
  <c r="BT11" i="8"/>
  <c r="BT17" i="8"/>
  <c r="BT18" i="8"/>
  <c r="BT19" i="8"/>
  <c r="BT3" i="8"/>
  <c r="BS14" i="8"/>
  <c r="BS5" i="8"/>
  <c r="BS6" i="8"/>
  <c r="BS7" i="8"/>
  <c r="BS8" i="8"/>
  <c r="BS9" i="8"/>
  <c r="BS10" i="8"/>
  <c r="BS11" i="8"/>
  <c r="BS17" i="8"/>
  <c r="BS18" i="8"/>
  <c r="BS19" i="8"/>
  <c r="BR14" i="8"/>
  <c r="BR5" i="8"/>
  <c r="BR6" i="8"/>
  <c r="BR7" i="8"/>
  <c r="BR8" i="8"/>
  <c r="BR9" i="8"/>
  <c r="BR10" i="8"/>
  <c r="BR11" i="8"/>
  <c r="BR17" i="8"/>
  <c r="BR18" i="8"/>
  <c r="BR19" i="8"/>
  <c r="BR3" i="8"/>
  <c r="BQ14" i="8"/>
  <c r="BQ5" i="8"/>
  <c r="BQ6" i="8"/>
  <c r="BQ7" i="8"/>
  <c r="BQ8" i="8"/>
  <c r="BQ9" i="8"/>
  <c r="BQ10" i="8"/>
  <c r="BQ11" i="8"/>
  <c r="BQ17" i="8"/>
  <c r="BQ18" i="8"/>
  <c r="BQ19" i="8"/>
  <c r="BQ3" i="8"/>
  <c r="BP14" i="8"/>
  <c r="BP5" i="8"/>
  <c r="BP6" i="8"/>
  <c r="BP7" i="8"/>
  <c r="BP8" i="8"/>
  <c r="BP9" i="8"/>
  <c r="BP10" i="8"/>
  <c r="BP11" i="8"/>
  <c r="BP17" i="8"/>
  <c r="BP18" i="8"/>
  <c r="BP19" i="8"/>
  <c r="BP3" i="8"/>
  <c r="BB3" i="8" l="1"/>
  <c r="L3" i="8" l="1"/>
  <c r="L14" i="8"/>
  <c r="L5" i="8"/>
  <c r="L6" i="8"/>
  <c r="L7" i="8"/>
  <c r="L8" i="8"/>
  <c r="L9" i="8"/>
  <c r="L10" i="8"/>
  <c r="L11" i="8"/>
  <c r="L17" i="8"/>
  <c r="L18" i="8"/>
  <c r="L19" i="8"/>
  <c r="Z3" i="8" l="1"/>
  <c r="BW3" i="8" l="1"/>
  <c r="Z18" i="8"/>
  <c r="AN18" i="8"/>
  <c r="BB18" i="8"/>
  <c r="Z10" i="8"/>
  <c r="Z11" i="8"/>
  <c r="Z17" i="8"/>
  <c r="AN17" i="8"/>
  <c r="BB17" i="8"/>
  <c r="BB14" i="8"/>
  <c r="BB5" i="8"/>
  <c r="BB6" i="8"/>
  <c r="BB7" i="8"/>
  <c r="BB8" i="8"/>
  <c r="BB9" i="8"/>
  <c r="BB10" i="8"/>
  <c r="BB11" i="8"/>
  <c r="BX3" i="8" l="1"/>
  <c r="BW18" i="8"/>
  <c r="BX18" i="8" s="1"/>
  <c r="BW17" i="8"/>
  <c r="BX17" i="8" s="1"/>
  <c r="BV17" i="8"/>
  <c r="BV3" i="8"/>
  <c r="BV18" i="8"/>
  <c r="AN10" i="8" l="1"/>
  <c r="BW10" i="8" s="1"/>
  <c r="BX10" i="8" l="1"/>
  <c r="BV10" i="8"/>
  <c r="Z7" i="8"/>
  <c r="Z8" i="8"/>
  <c r="BW8" i="8" s="1"/>
  <c r="Z9" i="8"/>
  <c r="Z14" i="8"/>
  <c r="Z5" i="8"/>
  <c r="AN14" i="8"/>
  <c r="AN5" i="8"/>
  <c r="AN7" i="8"/>
  <c r="AN8" i="8"/>
  <c r="AN9" i="8"/>
  <c r="AN11" i="8"/>
  <c r="BW11" i="8" s="1"/>
  <c r="AN6" i="8"/>
  <c r="Z6" i="8"/>
  <c r="BW6" i="8" l="1"/>
  <c r="BW5" i="8"/>
  <c r="BW7" i="8"/>
  <c r="BW14" i="8"/>
  <c r="BW9" i="8"/>
  <c r="BX9" i="8" s="1"/>
  <c r="BX8" i="8"/>
  <c r="BV9" i="8" l="1"/>
  <c r="BV8" i="8"/>
  <c r="BB19" i="8" l="1"/>
  <c r="Z19" i="8"/>
  <c r="AN19" i="8"/>
  <c r="BW19" i="8" l="1"/>
  <c r="BW21" i="8" s="1"/>
  <c r="BX6" i="8"/>
  <c r="BX5" i="8"/>
  <c r="BX14" i="8"/>
  <c r="BV5" i="8"/>
  <c r="BV11" i="8"/>
  <c r="BV7" i="8"/>
  <c r="BX7" i="8"/>
  <c r="BV19" i="8"/>
  <c r="BV14" i="8"/>
  <c r="BV6" i="8"/>
  <c r="BX19" i="8" l="1"/>
  <c r="BX11" i="8"/>
</calcChain>
</file>

<file path=xl/sharedStrings.xml><?xml version="1.0" encoding="utf-8"?>
<sst xmlns="http://schemas.openxmlformats.org/spreadsheetml/2006/main" count="1778" uniqueCount="55">
  <si>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</si>
  <si>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</si>
  <si>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</si>
  <si>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</si>
  <si>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</si>
  <si>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</si>
  <si>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</si>
  <si>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</si>
  <si>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</si>
  <si>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</si>
  <si>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</si>
  <si>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</si>
  <si>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</si>
  <si>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</si>
  <si>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</si>
  <si>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</si>
  <si>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</si>
  <si>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</si>
  <si>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L</t>
  </si>
  <si>
    <t>TOTAL 
LOCUM 
HOURS</t>
  </si>
  <si>
    <t>DELASI KWAME GALLEY</t>
  </si>
  <si>
    <t>RAPHAEL AKORLI AGBESI</t>
  </si>
  <si>
    <t>P</t>
  </si>
  <si>
    <t>EMMANUEL SIKA TETTEH</t>
  </si>
  <si>
    <t>JANET BREW-YALLEY</t>
  </si>
  <si>
    <t>DAVID TEI</t>
  </si>
  <si>
    <t>LABORATORY</t>
  </si>
  <si>
    <t>BENEDICT BOAMAH</t>
  </si>
  <si>
    <t>LUTHER QUARTEY (LOCUM)</t>
  </si>
  <si>
    <t>DRAMANI YAYA (LOCUM)</t>
  </si>
  <si>
    <t>EDMUND (LOCUM)</t>
  </si>
  <si>
    <t>BENJAMIN AKUETTEH</t>
  </si>
  <si>
    <t>EMMANUEL GYAMFI (LOCUM)</t>
  </si>
  <si>
    <t xml:space="preserve">       </t>
  </si>
  <si>
    <t>STEPHANE ASARE-BOATENG</t>
  </si>
  <si>
    <t>SL</t>
  </si>
  <si>
    <t>JOSEPHINE (LOCUM)</t>
  </si>
  <si>
    <t>RICHARD (LOCUM)</t>
  </si>
  <si>
    <t>COLLINS AMPONSAH</t>
  </si>
  <si>
    <t>SUSPENSION</t>
  </si>
  <si>
    <t>AL</t>
  </si>
  <si>
    <t>DELASI KWAME GALLEY (LOCUM)</t>
  </si>
  <si>
    <t>L/N</t>
  </si>
  <si>
    <t>COLLINS AMPONSAH (LOCUM)</t>
  </si>
  <si>
    <t>RICHARD QUAYE (LOCUM)</t>
  </si>
  <si>
    <t>EDMUND YEMOH (LOCUM)</t>
  </si>
  <si>
    <t>EDMUND</t>
  </si>
  <si>
    <t>EMMA</t>
  </si>
  <si>
    <t>12 HOUR SHIFT FOR EMERGENCY TEAM</t>
  </si>
  <si>
    <t>L - DAY SHIFT</t>
  </si>
  <si>
    <t>N - NIGHT SHIFT</t>
  </si>
  <si>
    <t>AL - ANNUAL LEAVE</t>
  </si>
  <si>
    <t>A - AFTERNOON SHIFT 2:00PM - 8:00PM</t>
  </si>
  <si>
    <t>M - MORNING SHIFT 8:00AM - 2:00PM</t>
  </si>
  <si>
    <t>SL - 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</si>
</sst>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rgb="FF00B050"/>
      <name val="Arial"/>
      <family val="2"/>
    </font>
    <font>
      <sz val="9"/>
      <color theme="5" tint="-0.499984740745262"/>
      <name val="Arial"/>
      <family val="2"/>
    </font>
    <font>
      <sz val="9"/>
      <color rgb="FF92D050"/>
      <name val="Arial"/>
      <family val="2"/>
    </font>
    <font>
      <sz val="9"/>
      <color rgb="FF00B0F0"/>
      <name val="Arial"/>
      <family val="2"/>
    </font>
    <font>
      <sz val="9"/>
      <color rgb="FF7030A0"/>
      <name val="Arial"/>
      <family val="2"/>
    </font>
    <font>
      <sz val="9"/>
      <color rgb="FFC00000"/>
      <name val="Arial"/>
      <family val="2"/>
    </font>
    <font>
      <sz val="9"/>
      <color theme="7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5">
    <xf numFmtId="0" fontId="0" fillId="0" borderId="0" xfId="0"/>
    <xf numFmtId="0" fontId="3" fillId="0" borderId="10" xfId="0" applyFont="1" applyBorder="1"/>
    <xf numFmtId="0" fontId="0" fillId="0" borderId="0" xfId="0" applyBorder="1"/>
    <xf numFmtId="0" fontId="3" fillId="7" borderId="10" xfId="0" applyFont="1" applyFill="1" applyBorder="1"/>
    <xf numFmtId="0" fontId="4" fillId="7" borderId="8" xfId="0" applyFont="1" applyFill="1" applyBorder="1"/>
    <xf numFmtId="0" fontId="3" fillId="8" borderId="10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7" fillId="2" borderId="8" xfId="1" applyFont="1" applyBorder="1" applyAlignment="1">
      <alignment horizontal="center" vertical="center"/>
    </xf>
    <xf numFmtId="0" fontId="5" fillId="3" borderId="11" xfId="0" applyFont="1" applyFill="1" applyBorder="1"/>
    <xf numFmtId="0" fontId="5" fillId="3" borderId="8" xfId="0" applyFont="1" applyFill="1" applyBorder="1"/>
    <xf numFmtId="0" fontId="5" fillId="4" borderId="8" xfId="0" applyFont="1" applyFill="1" applyBorder="1"/>
    <xf numFmtId="0" fontId="6" fillId="5" borderId="8" xfId="1" applyFont="1" applyFill="1" applyBorder="1" applyAlignment="1">
      <alignment horizontal="center"/>
    </xf>
    <xf numFmtId="0" fontId="6" fillId="2" borderId="8" xfId="1" applyFont="1" applyBorder="1"/>
    <xf numFmtId="0" fontId="6" fillId="6" borderId="6" xfId="1" applyFont="1" applyFill="1" applyBorder="1" applyAlignment="1">
      <alignment horizontal="center"/>
    </xf>
    <xf numFmtId="0" fontId="6" fillId="6" borderId="5" xfId="1" applyFont="1" applyFill="1" applyBorder="1" applyAlignment="1">
      <alignment horizontal="center"/>
    </xf>
    <xf numFmtId="0" fontId="6" fillId="6" borderId="12" xfId="1" applyFont="1" applyFill="1" applyBorder="1" applyAlignment="1">
      <alignment horizontal="center"/>
    </xf>
    <xf numFmtId="0" fontId="6" fillId="6" borderId="17" xfId="1" applyFont="1" applyFill="1" applyBorder="1" applyAlignment="1">
      <alignment horizontal="center"/>
    </xf>
    <xf numFmtId="0" fontId="8" fillId="0" borderId="9" xfId="0" applyFont="1" applyBorder="1"/>
    <xf numFmtId="0" fontId="9" fillId="4" borderId="8" xfId="0" applyFont="1" applyFill="1" applyBorder="1"/>
    <xf numFmtId="0" fontId="6" fillId="5" borderId="8" xfId="1" applyFont="1" applyFill="1" applyBorder="1"/>
    <xf numFmtId="0" fontId="6" fillId="6" borderId="13" xfId="1" applyFont="1" applyFill="1" applyBorder="1"/>
    <xf numFmtId="0" fontId="6" fillId="6" borderId="15" xfId="1" applyFont="1" applyFill="1" applyBorder="1"/>
    <xf numFmtId="0" fontId="6" fillId="6" borderId="16" xfId="1" applyFont="1" applyFill="1" applyBorder="1"/>
    <xf numFmtId="0" fontId="8" fillId="8" borderId="8" xfId="0" applyFont="1" applyFill="1" applyBorder="1"/>
    <xf numFmtId="0" fontId="9" fillId="0" borderId="8" xfId="0" applyFont="1" applyBorder="1"/>
    <xf numFmtId="0" fontId="8" fillId="8" borderId="9" xfId="0" applyFont="1" applyFill="1" applyBorder="1"/>
    <xf numFmtId="0" fontId="8" fillId="8" borderId="14" xfId="0" applyFont="1" applyFill="1" applyBorder="1"/>
    <xf numFmtId="0" fontId="8" fillId="7" borderId="9" xfId="0" applyFont="1" applyFill="1" applyBorder="1"/>
    <xf numFmtId="0" fontId="9" fillId="7" borderId="8" xfId="0" applyFont="1" applyFill="1" applyBorder="1"/>
    <xf numFmtId="0" fontId="6" fillId="7" borderId="8" xfId="1" applyFont="1" applyFill="1" applyBorder="1"/>
    <xf numFmtId="0" fontId="6" fillId="7" borderId="13" xfId="1" applyFont="1" applyFill="1" applyBorder="1"/>
    <xf numFmtId="0" fontId="6" fillId="7" borderId="15" xfId="1" applyFont="1" applyFill="1" applyBorder="1"/>
    <xf numFmtId="0" fontId="6" fillId="7" borderId="16" xfId="1" applyFont="1" applyFill="1" applyBorder="1"/>
    <xf numFmtId="0" fontId="8" fillId="7" borderId="14" xfId="0" applyFont="1" applyFill="1" applyBorder="1"/>
    <xf numFmtId="0" fontId="8" fillId="7" borderId="8" xfId="0" applyFont="1" applyFill="1" applyBorder="1"/>
    <xf numFmtId="0" fontId="5" fillId="7" borderId="8" xfId="1" applyFont="1" applyFill="1" applyBorder="1"/>
    <xf numFmtId="0" fontId="8" fillId="0" borderId="0" xfId="0" applyFont="1"/>
    <xf numFmtId="0" fontId="8" fillId="0" borderId="0" xfId="0" applyFont="1" applyBorder="1"/>
    <xf numFmtId="0" fontId="5" fillId="7" borderId="8" xfId="0" applyFont="1" applyFill="1" applyBorder="1" applyAlignment="1">
      <alignment wrapText="1"/>
    </xf>
    <xf numFmtId="0" fontId="5" fillId="7" borderId="8" xfId="0" applyFont="1" applyFill="1" applyBorder="1"/>
    <xf numFmtId="0" fontId="8" fillId="0" borderId="14" xfId="0" applyFont="1" applyFill="1" applyBorder="1"/>
    <xf numFmtId="0" fontId="9" fillId="8" borderId="8" xfId="0" applyFont="1" applyFill="1" applyBorder="1"/>
    <xf numFmtId="0" fontId="6" fillId="8" borderId="8" xfId="1" applyFont="1" applyFill="1" applyBorder="1"/>
    <xf numFmtId="0" fontId="6" fillId="8" borderId="13" xfId="1" applyFont="1" applyFill="1" applyBorder="1"/>
    <xf numFmtId="0" fontId="6" fillId="8" borderId="15" xfId="1" applyFont="1" applyFill="1" applyBorder="1"/>
    <xf numFmtId="0" fontId="6" fillId="8" borderId="16" xfId="1" applyFont="1" applyFill="1" applyBorder="1"/>
    <xf numFmtId="0" fontId="5" fillId="8" borderId="8" xfId="0" applyFont="1" applyFill="1" applyBorder="1"/>
    <xf numFmtId="0" fontId="3" fillId="7" borderId="8" xfId="0" applyFont="1" applyFill="1" applyBorder="1"/>
    <xf numFmtId="0" fontId="8" fillId="0" borderId="9" xfId="0" applyFont="1" applyFill="1" applyBorder="1"/>
    <xf numFmtId="0" fontId="8" fillId="0" borderId="8" xfId="0" applyFont="1" applyFill="1" applyBorder="1"/>
    <xf numFmtId="0" fontId="3" fillId="0" borderId="10" xfId="0" applyFont="1" applyFill="1" applyBorder="1"/>
    <xf numFmtId="0" fontId="8" fillId="0" borderId="8" xfId="0" applyFont="1" applyBorder="1"/>
    <xf numFmtId="0" fontId="8" fillId="4" borderId="8" xfId="0" applyFont="1" applyFill="1" applyBorder="1"/>
    <xf numFmtId="0" fontId="10" fillId="7" borderId="8" xfId="0" applyFont="1" applyFill="1" applyBorder="1"/>
    <xf numFmtId="0" fontId="10" fillId="0" borderId="8" xfId="0" applyFont="1" applyBorder="1"/>
    <xf numFmtId="0" fontId="10" fillId="4" borderId="8" xfId="0" applyFont="1" applyFill="1" applyBorder="1"/>
    <xf numFmtId="0" fontId="11" fillId="0" borderId="8" xfId="0" applyFont="1" applyBorder="1"/>
    <xf numFmtId="0" fontId="12" fillId="0" borderId="8" xfId="0" applyFont="1" applyBorder="1"/>
    <xf numFmtId="0" fontId="13" fillId="0" borderId="8" xfId="0" applyFont="1" applyBorder="1"/>
    <xf numFmtId="0" fontId="14" fillId="7" borderId="8" xfId="0" applyFont="1" applyFill="1" applyBorder="1"/>
    <xf numFmtId="0" fontId="15" fillId="0" borderId="8" xfId="0" applyFont="1" applyBorder="1"/>
    <xf numFmtId="0" fontId="15" fillId="4" borderId="8" xfId="0" applyFont="1" applyFill="1" applyBorder="1"/>
    <xf numFmtId="0" fontId="15" fillId="7" borderId="8" xfId="0" applyFont="1" applyFill="1" applyBorder="1"/>
    <xf numFmtId="0" fontId="16" fillId="0" borderId="8" xfId="0" applyFont="1" applyBorder="1"/>
    <xf numFmtId="0" fontId="16" fillId="4" borderId="8" xfId="0" applyFont="1" applyFill="1" applyBorder="1"/>
    <xf numFmtId="0" fontId="5" fillId="3" borderId="8" xfId="0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/>
    </xf>
    <xf numFmtId="0" fontId="6" fillId="6" borderId="8" xfId="1" applyFont="1" applyFill="1" applyBorder="1"/>
    <xf numFmtId="0" fontId="3" fillId="0" borderId="8" xfId="0" applyFont="1" applyBorder="1"/>
    <xf numFmtId="0" fontId="3" fillId="8" borderId="8" xfId="0" applyFont="1" applyFill="1" applyBorder="1"/>
    <xf numFmtId="0" fontId="3" fillId="0" borderId="8" xfId="0" applyFont="1" applyFill="1" applyBorder="1"/>
    <xf numFmtId="0" fontId="14" fillId="0" borderId="8" xfId="0" applyFont="1" applyBorder="1"/>
    <xf numFmtId="0" fontId="14" fillId="4" borderId="8" xfId="0" applyFont="1" applyFill="1" applyBorder="1"/>
    <xf numFmtId="0" fontId="17" fillId="0" borderId="8" xfId="0" applyFont="1" applyBorder="1"/>
    <xf numFmtId="0" fontId="17" fillId="7" borderId="8" xfId="0" applyFont="1" applyFill="1" applyBorder="1"/>
    <xf numFmtId="0" fontId="6" fillId="5" borderId="9" xfId="1" applyFont="1" applyFill="1" applyBorder="1" applyAlignment="1">
      <alignment horizontal="center" vertical="center"/>
    </xf>
    <xf numFmtId="0" fontId="6" fillId="5" borderId="20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6" borderId="18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6" fillId="6" borderId="19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/>
    <xf numFmtId="0" fontId="4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067"/>
  <sheetViews>
    <sheetView zoomScale="106" zoomScaleNormal="106" workbookViewId="0">
      <selection activeCell="H28" sqref="H28"/>
    </sheetView>
  </sheetViews>
  <sheetFormatPr defaultRowHeight="15" x14ac:dyDescent="0.25"/>
  <cols>
    <col min="1" max="1" width="28.8554687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.5703125" customWidth="1"/>
    <col min="7" max="10" width="2.85546875" bestFit="1" customWidth="1"/>
    <col min="11" max="11" width="2.7109375" bestFit="1" customWidth="1"/>
    <col min="12" max="12" width="4.5703125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.5703125" customWidth="1"/>
    <col min="21" max="24" width="2.85546875" bestFit="1" customWidth="1"/>
    <col min="25" max="25" width="2.7109375" bestFit="1" customWidth="1"/>
    <col min="26" max="26" width="4.570312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.5703125" customWidth="1"/>
    <col min="35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8" width="4.140625" customWidth="1"/>
    <col min="59" max="59" width="3.85546875" customWidth="1"/>
    <col min="60" max="60" width="4" customWidth="1"/>
    <col min="61" max="61" width="3" bestFit="1" customWidth="1"/>
    <col min="62" max="65" width="2.85546875" bestFit="1" customWidth="1"/>
    <col min="66" max="66" width="2.7109375" bestFit="1" customWidth="1"/>
    <col min="67" max="67" width="4.28515625" customWidth="1"/>
    <col min="68" max="68" width="4" customWidth="1"/>
    <col min="69" max="73" width="3.85546875" bestFit="1" customWidth="1"/>
    <col min="74" max="74" width="8.28515625" customWidth="1"/>
    <col min="75" max="75" width="7.140625" customWidth="1"/>
    <col min="76" max="76" width="5.5703125" customWidth="1"/>
  </cols>
  <sheetData>
    <row r="1" spans="1:84" ht="15.75" thickBot="1" x14ac:dyDescent="0.3">
      <c r="A1" s="6" t="s">
        <v>0</v>
      </c>
      <c r="B1" s="7" t="s">
        <v>9</v>
      </c>
      <c r="C1" s="7" t="s">
        <v>1</v>
      </c>
      <c r="D1" s="8" t="s">
        <v>2</v>
      </c>
      <c r="E1" s="8" t="s">
        <v>3</v>
      </c>
      <c r="F1" s="77" t="s">
        <v>4</v>
      </c>
      <c r="G1" s="78"/>
      <c r="H1" s="78"/>
      <c r="I1" s="78"/>
      <c r="J1" s="78"/>
      <c r="K1" s="79"/>
      <c r="L1" s="9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</v>
      </c>
      <c r="R1" s="8" t="s">
        <v>2</v>
      </c>
      <c r="S1" s="8" t="s">
        <v>3</v>
      </c>
      <c r="T1" s="80" t="s">
        <v>4</v>
      </c>
      <c r="U1" s="80"/>
      <c r="V1" s="80"/>
      <c r="W1" s="80"/>
      <c r="X1" s="80"/>
      <c r="Y1" s="80"/>
      <c r="Z1" s="9" t="s">
        <v>5</v>
      </c>
      <c r="AA1" s="7" t="s">
        <v>6</v>
      </c>
      <c r="AB1" s="7" t="s">
        <v>7</v>
      </c>
      <c r="AC1" s="7" t="s">
        <v>8</v>
      </c>
      <c r="AD1" s="7" t="s">
        <v>9</v>
      </c>
      <c r="AE1" s="7" t="s">
        <v>1</v>
      </c>
      <c r="AF1" s="8" t="s">
        <v>2</v>
      </c>
      <c r="AG1" s="8" t="s">
        <v>3</v>
      </c>
      <c r="AH1" s="80" t="s">
        <v>4</v>
      </c>
      <c r="AI1" s="80"/>
      <c r="AJ1" s="80"/>
      <c r="AK1" s="80"/>
      <c r="AL1" s="80"/>
      <c r="AM1" s="80"/>
      <c r="AN1" s="9" t="s">
        <v>5</v>
      </c>
      <c r="AO1" s="7" t="s">
        <v>6</v>
      </c>
      <c r="AP1" s="7" t="s">
        <v>7</v>
      </c>
      <c r="AQ1" s="7" t="s">
        <v>8</v>
      </c>
      <c r="AR1" s="7" t="s">
        <v>9</v>
      </c>
      <c r="AS1" s="7" t="s">
        <v>1</v>
      </c>
      <c r="AT1" s="8" t="s">
        <v>2</v>
      </c>
      <c r="AU1" s="8" t="s">
        <v>3</v>
      </c>
      <c r="AV1" s="80" t="s">
        <v>4</v>
      </c>
      <c r="AW1" s="80"/>
      <c r="AX1" s="80"/>
      <c r="AY1" s="80"/>
      <c r="AZ1" s="80"/>
      <c r="BA1" s="80"/>
      <c r="BB1" s="9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</v>
      </c>
      <c r="BH1" s="8" t="s">
        <v>2</v>
      </c>
      <c r="BI1" s="80" t="s">
        <v>4</v>
      </c>
      <c r="BJ1" s="80"/>
      <c r="BK1" s="80"/>
      <c r="BL1" s="80"/>
      <c r="BM1" s="80"/>
      <c r="BN1" s="80"/>
      <c r="BO1" s="9" t="s">
        <v>5</v>
      </c>
      <c r="BP1" s="87" t="s">
        <v>4</v>
      </c>
      <c r="BQ1" s="88"/>
      <c r="BR1" s="88"/>
      <c r="BS1" s="88"/>
      <c r="BT1" s="88"/>
      <c r="BU1" s="89"/>
      <c r="BV1" s="81" t="s">
        <v>10</v>
      </c>
      <c r="BW1" s="83" t="s">
        <v>11</v>
      </c>
      <c r="BX1" s="85" t="s">
        <v>12</v>
      </c>
    </row>
    <row r="2" spans="1:84" ht="15.75" thickBot="1" x14ac:dyDescent="0.3">
      <c r="A2" s="10" t="s">
        <v>26</v>
      </c>
      <c r="B2" s="11">
        <v>1</v>
      </c>
      <c r="C2" s="11">
        <v>2</v>
      </c>
      <c r="D2" s="12">
        <v>3</v>
      </c>
      <c r="E2" s="12">
        <v>4</v>
      </c>
      <c r="F2" s="13" t="s">
        <v>13</v>
      </c>
      <c r="G2" s="13" t="s">
        <v>14</v>
      </c>
      <c r="H2" s="13" t="s">
        <v>16</v>
      </c>
      <c r="I2" s="13" t="s">
        <v>15</v>
      </c>
      <c r="J2" s="13" t="s">
        <v>22</v>
      </c>
      <c r="K2" s="13" t="s">
        <v>18</v>
      </c>
      <c r="L2" s="14"/>
      <c r="M2" s="11">
        <v>5</v>
      </c>
      <c r="N2" s="11">
        <v>6</v>
      </c>
      <c r="O2" s="11">
        <v>7</v>
      </c>
      <c r="P2" s="11">
        <v>8</v>
      </c>
      <c r="Q2" s="11">
        <v>9</v>
      </c>
      <c r="R2" s="12">
        <v>10</v>
      </c>
      <c r="S2" s="12">
        <v>11</v>
      </c>
      <c r="T2" s="13" t="s">
        <v>13</v>
      </c>
      <c r="U2" s="13" t="s">
        <v>14</v>
      </c>
      <c r="V2" s="13" t="s">
        <v>16</v>
      </c>
      <c r="W2" s="13" t="s">
        <v>15</v>
      </c>
      <c r="X2" s="13" t="s">
        <v>22</v>
      </c>
      <c r="Y2" s="13" t="s">
        <v>18</v>
      </c>
      <c r="Z2" s="14"/>
      <c r="AA2" s="11">
        <v>12</v>
      </c>
      <c r="AB2" s="11">
        <v>13</v>
      </c>
      <c r="AC2" s="11">
        <v>14</v>
      </c>
      <c r="AD2" s="11">
        <v>15</v>
      </c>
      <c r="AE2" s="11">
        <v>16</v>
      </c>
      <c r="AF2" s="12">
        <v>17</v>
      </c>
      <c r="AG2" s="12">
        <v>18</v>
      </c>
      <c r="AH2" s="13" t="s">
        <v>13</v>
      </c>
      <c r="AI2" s="13" t="s">
        <v>14</v>
      </c>
      <c r="AJ2" s="13" t="s">
        <v>16</v>
      </c>
      <c r="AK2" s="13" t="s">
        <v>15</v>
      </c>
      <c r="AL2" s="13" t="s">
        <v>22</v>
      </c>
      <c r="AM2" s="13" t="s">
        <v>18</v>
      </c>
      <c r="AN2" s="14"/>
      <c r="AO2" s="11">
        <v>19</v>
      </c>
      <c r="AP2" s="11">
        <v>20</v>
      </c>
      <c r="AQ2" s="11">
        <v>21</v>
      </c>
      <c r="AR2" s="11">
        <v>22</v>
      </c>
      <c r="AS2" s="11">
        <v>23</v>
      </c>
      <c r="AT2" s="12">
        <v>24</v>
      </c>
      <c r="AU2" s="12">
        <v>25</v>
      </c>
      <c r="AV2" s="13" t="s">
        <v>13</v>
      </c>
      <c r="AW2" s="13" t="s">
        <v>14</v>
      </c>
      <c r="AX2" s="13" t="s">
        <v>16</v>
      </c>
      <c r="AY2" s="13" t="s">
        <v>15</v>
      </c>
      <c r="AZ2" s="13" t="s">
        <v>22</v>
      </c>
      <c r="BA2" s="13" t="s">
        <v>18</v>
      </c>
      <c r="BB2" s="14"/>
      <c r="BC2" s="11">
        <v>26</v>
      </c>
      <c r="BD2" s="11">
        <v>27</v>
      </c>
      <c r="BE2" s="11">
        <v>28</v>
      </c>
      <c r="BF2" s="11">
        <v>29</v>
      </c>
      <c r="BG2" s="11">
        <v>30</v>
      </c>
      <c r="BH2" s="12">
        <v>31</v>
      </c>
      <c r="BI2" s="13" t="s">
        <v>13</v>
      </c>
      <c r="BJ2" s="13" t="s">
        <v>14</v>
      </c>
      <c r="BK2" s="13" t="s">
        <v>16</v>
      </c>
      <c r="BL2" s="13" t="s">
        <v>15</v>
      </c>
      <c r="BM2" s="13" t="s">
        <v>22</v>
      </c>
      <c r="BN2" s="13" t="s">
        <v>18</v>
      </c>
      <c r="BO2" s="14"/>
      <c r="BP2" s="15" t="s">
        <v>13</v>
      </c>
      <c r="BQ2" s="16" t="s">
        <v>14</v>
      </c>
      <c r="BR2" s="18" t="s">
        <v>15</v>
      </c>
      <c r="BS2" s="17" t="s">
        <v>16</v>
      </c>
      <c r="BT2" s="17" t="s">
        <v>22</v>
      </c>
      <c r="BU2" s="17" t="s">
        <v>18</v>
      </c>
      <c r="BV2" s="82"/>
      <c r="BW2" s="84"/>
      <c r="BX2" s="86"/>
    </row>
    <row r="3" spans="1:84" x14ac:dyDescent="0.25">
      <c r="A3" s="19" t="s">
        <v>31</v>
      </c>
      <c r="B3" s="26" t="s">
        <v>17</v>
      </c>
      <c r="C3" s="26" t="s">
        <v>15</v>
      </c>
      <c r="D3" s="20" t="s">
        <v>17</v>
      </c>
      <c r="E3" s="20" t="s">
        <v>17</v>
      </c>
      <c r="F3" s="21">
        <v>0</v>
      </c>
      <c r="G3" s="21">
        <v>0</v>
      </c>
      <c r="H3" s="21">
        <v>0</v>
      </c>
      <c r="I3" s="21">
        <v>1</v>
      </c>
      <c r="J3" s="21">
        <v>0</v>
      </c>
      <c r="K3" s="21">
        <v>0</v>
      </c>
      <c r="L3" s="14">
        <f>(7*F3)+(7*G3)+(12*H3)+(9*I3)+(12*J3)+(12*K3)</f>
        <v>9</v>
      </c>
      <c r="M3" s="26" t="s">
        <v>15</v>
      </c>
      <c r="N3" s="26" t="s">
        <v>15</v>
      </c>
      <c r="O3" s="26" t="s">
        <v>17</v>
      </c>
      <c r="P3" s="26" t="s">
        <v>15</v>
      </c>
      <c r="Q3" s="26" t="s">
        <v>15</v>
      </c>
      <c r="R3" s="20" t="s">
        <v>17</v>
      </c>
      <c r="S3" s="20" t="s">
        <v>17</v>
      </c>
      <c r="T3" s="21">
        <v>0</v>
      </c>
      <c r="U3" s="21">
        <v>0</v>
      </c>
      <c r="V3" s="21">
        <v>0</v>
      </c>
      <c r="W3" s="21">
        <v>4</v>
      </c>
      <c r="X3" s="21">
        <v>0</v>
      </c>
      <c r="Y3" s="21">
        <v>0</v>
      </c>
      <c r="Z3" s="14">
        <f>(7*T3)+(7*U3)+(12*V3)+(9*W3)+(12*X3)+(12*Y3)</f>
        <v>36</v>
      </c>
      <c r="AA3" s="26" t="s">
        <v>15</v>
      </c>
      <c r="AB3" s="26" t="s">
        <v>15</v>
      </c>
      <c r="AC3" s="26" t="s">
        <v>15</v>
      </c>
      <c r="AD3" s="26" t="s">
        <v>15</v>
      </c>
      <c r="AE3" s="26" t="s">
        <v>15</v>
      </c>
      <c r="AF3" s="20" t="s">
        <v>17</v>
      </c>
      <c r="AG3" s="20" t="s">
        <v>17</v>
      </c>
      <c r="AH3" s="21">
        <v>0</v>
      </c>
      <c r="AI3" s="21">
        <v>0</v>
      </c>
      <c r="AJ3" s="21">
        <v>0</v>
      </c>
      <c r="AK3" s="21">
        <v>5</v>
      </c>
      <c r="AL3" s="21">
        <v>0</v>
      </c>
      <c r="AM3" s="21">
        <v>0</v>
      </c>
      <c r="AN3" s="14">
        <f>(7*AH3)+(7*AI3)+(12*AJ3)+(9*AK3)+(12*AL3)+(12*AM3)</f>
        <v>45</v>
      </c>
      <c r="AO3" s="26" t="s">
        <v>15</v>
      </c>
      <c r="AP3" s="26" t="s">
        <v>15</v>
      </c>
      <c r="AQ3" s="26" t="s">
        <v>15</v>
      </c>
      <c r="AR3" s="26" t="s">
        <v>15</v>
      </c>
      <c r="AS3" s="26" t="s">
        <v>15</v>
      </c>
      <c r="AT3" s="20" t="s">
        <v>17</v>
      </c>
      <c r="AU3" s="20" t="s">
        <v>17</v>
      </c>
      <c r="AV3" s="21">
        <v>0</v>
      </c>
      <c r="AW3" s="21">
        <v>0</v>
      </c>
      <c r="AX3" s="21">
        <v>0</v>
      </c>
      <c r="AY3" s="21">
        <v>5</v>
      </c>
      <c r="AZ3" s="21">
        <v>0</v>
      </c>
      <c r="BA3" s="21">
        <v>0</v>
      </c>
      <c r="BB3" s="14">
        <f>(7*AV3)+(7*AW3)+(12*AX3)+(9*AY3)+(12*AZ3)+(12*BA3)</f>
        <v>45</v>
      </c>
      <c r="BC3" s="26" t="s">
        <v>15</v>
      </c>
      <c r="BD3" s="26" t="s">
        <v>15</v>
      </c>
      <c r="BE3" s="26" t="s">
        <v>15</v>
      </c>
      <c r="BF3" s="26" t="s">
        <v>15</v>
      </c>
      <c r="BG3" s="26" t="s">
        <v>15</v>
      </c>
      <c r="BH3" s="20" t="s">
        <v>17</v>
      </c>
      <c r="BI3" s="21">
        <v>0</v>
      </c>
      <c r="BJ3" s="21">
        <v>0</v>
      </c>
      <c r="BK3" s="21">
        <v>0</v>
      </c>
      <c r="BL3" s="21">
        <v>5</v>
      </c>
      <c r="BM3" s="21">
        <v>0</v>
      </c>
      <c r="BN3" s="21">
        <v>0</v>
      </c>
      <c r="BO3" s="14">
        <f>(7*BI3)+(7*BJ3)+(12*BK3)+(9*BL3)+(12*BM3)+(12*BN3)</f>
        <v>45</v>
      </c>
      <c r="BP3" s="22">
        <f t="shared" ref="BP3:BP12" si="0">SUM(F3,T3,AH3,AV3,BI3)</f>
        <v>0</v>
      </c>
      <c r="BQ3" s="23">
        <f t="shared" ref="BQ3:BQ12" si="1">SUM(G3,U3,AI3,AW3,BJ3)</f>
        <v>0</v>
      </c>
      <c r="BR3" s="24">
        <f t="shared" ref="BR3:BR12" si="2">SUM(I3,W3,AK3,AY3,BL3)</f>
        <v>20</v>
      </c>
      <c r="BS3" s="23">
        <f t="shared" ref="BS3:BS12" si="3">SUM(H3,V3,AJ3,AX3,BK3)</f>
        <v>0</v>
      </c>
      <c r="BT3" s="23">
        <f t="shared" ref="BT3:BT12" si="4">SUM(J3,X3,AL3,AZ3,BM3)</f>
        <v>0</v>
      </c>
      <c r="BU3" s="23">
        <f t="shared" ref="BU3:BU12" si="5">SUM(K3,Y3,AM3,BA3,BN3)</f>
        <v>0</v>
      </c>
      <c r="BV3" s="42">
        <f t="shared" ref="BV3:BV19" si="6">SUM(BP3:BU3)</f>
        <v>20</v>
      </c>
      <c r="BW3" s="25">
        <f t="shared" ref="BW3:BW12" si="7">SUM(L3,Z3,AN3,BB3,BO3)</f>
        <v>180</v>
      </c>
      <c r="BX3" s="1">
        <f t="shared" ref="BX3:BX12" si="8">BW3-180</f>
        <v>0</v>
      </c>
    </row>
    <row r="4" spans="1:84" x14ac:dyDescent="0.25">
      <c r="A4" s="19" t="s">
        <v>20</v>
      </c>
      <c r="B4" s="26" t="s">
        <v>17</v>
      </c>
      <c r="C4" s="26" t="s">
        <v>17</v>
      </c>
      <c r="D4" s="20" t="s">
        <v>17</v>
      </c>
      <c r="E4" s="20" t="s">
        <v>17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1</v>
      </c>
      <c r="L4" s="14">
        <f>(7*F4)+(7*G4)+(12*H4)+(12*J4)+(12*K4)</f>
        <v>12</v>
      </c>
      <c r="M4" s="58" t="s">
        <v>40</v>
      </c>
      <c r="N4" s="58" t="s">
        <v>40</v>
      </c>
      <c r="O4" s="58" t="s">
        <v>40</v>
      </c>
      <c r="P4" s="58" t="s">
        <v>40</v>
      </c>
      <c r="Q4" s="58" t="s">
        <v>40</v>
      </c>
      <c r="R4" s="20" t="s">
        <v>17</v>
      </c>
      <c r="S4" s="20" t="s">
        <v>17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14">
        <f>(7*T4)+(7*U4)+(12*V4)+(12*X4)+(12*Y4)</f>
        <v>0</v>
      </c>
      <c r="AA4" s="58" t="s">
        <v>40</v>
      </c>
      <c r="AB4" s="58" t="s">
        <v>40</v>
      </c>
      <c r="AC4" s="58" t="s">
        <v>40</v>
      </c>
      <c r="AD4" s="58" t="s">
        <v>40</v>
      </c>
      <c r="AE4" s="58" t="s">
        <v>40</v>
      </c>
      <c r="AF4" s="20" t="s">
        <v>17</v>
      </c>
      <c r="AG4" s="20" t="s">
        <v>17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14">
        <f>(7*AH4)+(7*AI4)+(12*AJ4)+(12*AL4)+(12*AM4)</f>
        <v>0</v>
      </c>
      <c r="AO4" s="58" t="s">
        <v>40</v>
      </c>
      <c r="AP4" s="58" t="s">
        <v>40</v>
      </c>
      <c r="AQ4" s="58" t="s">
        <v>40</v>
      </c>
      <c r="AR4" s="58" t="s">
        <v>40</v>
      </c>
      <c r="AS4" s="58" t="s">
        <v>40</v>
      </c>
      <c r="AT4" s="20" t="s">
        <v>17</v>
      </c>
      <c r="AU4" s="20" t="s">
        <v>17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14">
        <f t="shared" ref="BB4" si="9">(7*AV4)+(7*AW4)+(12*AX4)+(12*AZ4)+(12*BA4)</f>
        <v>0</v>
      </c>
      <c r="BC4" s="58" t="s">
        <v>40</v>
      </c>
      <c r="BD4" s="53" t="s">
        <v>18</v>
      </c>
      <c r="BE4" s="53" t="s">
        <v>18</v>
      </c>
      <c r="BF4" s="26" t="s">
        <v>17</v>
      </c>
      <c r="BG4" s="26" t="s">
        <v>17</v>
      </c>
      <c r="BH4" s="20" t="s">
        <v>17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2</v>
      </c>
      <c r="BO4" s="14">
        <f t="shared" ref="BO4" si="10">(7*BI4)+(7*BJ4)+(12*BK4)+(12*BM4)+(12*BN4)</f>
        <v>24</v>
      </c>
      <c r="BP4" s="22">
        <f t="shared" ref="BP4" si="11">SUM(F4,T4,AH4,AV4,BI4)</f>
        <v>0</v>
      </c>
      <c r="BQ4" s="23">
        <f t="shared" ref="BQ4" si="12">SUM(G4,U4,AI4,AW4,BJ4)</f>
        <v>0</v>
      </c>
      <c r="BR4" s="24">
        <f t="shared" ref="BR4" si="13">SUM(I4,W4,AK4,AY4,BL4)</f>
        <v>0</v>
      </c>
      <c r="BS4" s="23">
        <f t="shared" ref="BS4" si="14">SUM(H4,V4,AJ4,AX4,BK4)</f>
        <v>0</v>
      </c>
      <c r="BT4" s="23">
        <f t="shared" ref="BT4" si="15">SUM(J4,X4,AL4,AZ4,BM4)</f>
        <v>0</v>
      </c>
      <c r="BU4" s="23">
        <f t="shared" ref="BU4" si="16">SUM(K4,Y4,AM4,BA4,BN4)</f>
        <v>3</v>
      </c>
      <c r="BV4" s="42">
        <f t="shared" ref="BV4" si="17">SUM(BP4:BU4)</f>
        <v>3</v>
      </c>
      <c r="BW4" s="25">
        <f t="shared" ref="BW4" si="18">SUM(L4,Z4,AN4,BB4,BO4)</f>
        <v>36</v>
      </c>
      <c r="BX4" s="1">
        <f t="shared" ref="BX4" si="19">BW4-180</f>
        <v>-144</v>
      </c>
    </row>
    <row r="5" spans="1:84" x14ac:dyDescent="0.25">
      <c r="A5" s="19" t="s">
        <v>34</v>
      </c>
      <c r="B5" s="65" t="s">
        <v>13</v>
      </c>
      <c r="C5" s="26" t="s">
        <v>17</v>
      </c>
      <c r="D5" s="54" t="s">
        <v>18</v>
      </c>
      <c r="E5" s="20" t="s">
        <v>17</v>
      </c>
      <c r="F5" s="21">
        <v>1</v>
      </c>
      <c r="G5" s="21">
        <v>0</v>
      </c>
      <c r="H5" s="21">
        <v>0</v>
      </c>
      <c r="I5" s="21">
        <v>0</v>
      </c>
      <c r="J5" s="21">
        <v>0</v>
      </c>
      <c r="K5" s="21">
        <v>1</v>
      </c>
      <c r="L5" s="14">
        <f>(7*F5)+(7*G5)+(12*H5)+(12*J5)+(12*K5)</f>
        <v>19</v>
      </c>
      <c r="M5" s="26" t="s">
        <v>17</v>
      </c>
      <c r="N5" s="65" t="s">
        <v>13</v>
      </c>
      <c r="O5" s="65" t="s">
        <v>13</v>
      </c>
      <c r="P5" s="65" t="s">
        <v>13</v>
      </c>
      <c r="Q5" s="65" t="s">
        <v>13</v>
      </c>
      <c r="R5" s="54" t="s">
        <v>18</v>
      </c>
      <c r="S5" s="20" t="s">
        <v>17</v>
      </c>
      <c r="T5" s="21">
        <v>4</v>
      </c>
      <c r="U5" s="21">
        <v>0</v>
      </c>
      <c r="V5" s="21">
        <v>0</v>
      </c>
      <c r="W5" s="21">
        <v>0</v>
      </c>
      <c r="X5" s="21">
        <v>0</v>
      </c>
      <c r="Y5" s="21">
        <v>1</v>
      </c>
      <c r="Z5" s="14">
        <f>(7*T5)+(7*U5)+(12*V5)+(12*X5)+(12*Y5)</f>
        <v>40</v>
      </c>
      <c r="AA5" s="26" t="s">
        <v>17</v>
      </c>
      <c r="AB5" s="65" t="s">
        <v>13</v>
      </c>
      <c r="AC5" s="65" t="s">
        <v>13</v>
      </c>
      <c r="AD5" s="65" t="s">
        <v>13</v>
      </c>
      <c r="AE5" s="65" t="s">
        <v>13</v>
      </c>
      <c r="AF5" s="54" t="s">
        <v>18</v>
      </c>
      <c r="AG5" s="20" t="s">
        <v>17</v>
      </c>
      <c r="AH5" s="21">
        <v>4</v>
      </c>
      <c r="AI5" s="21">
        <v>0</v>
      </c>
      <c r="AJ5" s="21">
        <v>0</v>
      </c>
      <c r="AK5" s="21">
        <v>0</v>
      </c>
      <c r="AL5" s="21">
        <v>0</v>
      </c>
      <c r="AM5" s="21">
        <v>1</v>
      </c>
      <c r="AN5" s="14">
        <f>(7*AH5)+(7*AI5)+(12*AJ5)+(12*AL5)+(12*AM5)</f>
        <v>40</v>
      </c>
      <c r="AO5" s="26" t="s">
        <v>17</v>
      </c>
      <c r="AP5" s="65" t="s">
        <v>13</v>
      </c>
      <c r="AQ5" s="65" t="s">
        <v>13</v>
      </c>
      <c r="AR5" s="65" t="s">
        <v>13</v>
      </c>
      <c r="AS5" s="65" t="s">
        <v>13</v>
      </c>
      <c r="AT5" s="54" t="s">
        <v>18</v>
      </c>
      <c r="AU5" s="20" t="s">
        <v>17</v>
      </c>
      <c r="AV5" s="21">
        <v>4</v>
      </c>
      <c r="AW5" s="21">
        <v>0</v>
      </c>
      <c r="AX5" s="21">
        <v>0</v>
      </c>
      <c r="AY5" s="21">
        <v>0</v>
      </c>
      <c r="AZ5" s="21">
        <v>0</v>
      </c>
      <c r="BA5" s="21">
        <v>1</v>
      </c>
      <c r="BB5" s="14">
        <f t="shared" ref="BB5:BB17" si="20">(7*AV5)+(7*AW5)+(12*AX5)+(12*AZ5)+(12*BA5)</f>
        <v>40</v>
      </c>
      <c r="BC5" s="65" t="s">
        <v>13</v>
      </c>
      <c r="BD5" s="65" t="s">
        <v>13</v>
      </c>
      <c r="BE5" s="26" t="s">
        <v>17</v>
      </c>
      <c r="BF5" s="65" t="s">
        <v>13</v>
      </c>
      <c r="BG5" s="65" t="s">
        <v>13</v>
      </c>
      <c r="BH5" s="54" t="s">
        <v>18</v>
      </c>
      <c r="BI5" s="21">
        <v>4</v>
      </c>
      <c r="BJ5" s="21">
        <v>0</v>
      </c>
      <c r="BK5" s="21">
        <v>0</v>
      </c>
      <c r="BL5" s="21">
        <v>0</v>
      </c>
      <c r="BM5" s="21">
        <v>0</v>
      </c>
      <c r="BN5" s="21">
        <v>1</v>
      </c>
      <c r="BO5" s="14">
        <f t="shared" ref="BO5:BO12" si="21">(7*BI5)+(7*BJ5)+(12*BK5)+(12*BM5)+(12*BN5)</f>
        <v>40</v>
      </c>
      <c r="BP5" s="22">
        <f t="shared" si="0"/>
        <v>17</v>
      </c>
      <c r="BQ5" s="23">
        <f t="shared" si="1"/>
        <v>0</v>
      </c>
      <c r="BR5" s="24">
        <f t="shared" si="2"/>
        <v>0</v>
      </c>
      <c r="BS5" s="23">
        <f t="shared" si="3"/>
        <v>0</v>
      </c>
      <c r="BT5" s="23">
        <f t="shared" si="4"/>
        <v>0</v>
      </c>
      <c r="BU5" s="23">
        <f t="shared" si="5"/>
        <v>5</v>
      </c>
      <c r="BV5" s="42">
        <f t="shared" si="6"/>
        <v>22</v>
      </c>
      <c r="BW5" s="25">
        <f t="shared" si="7"/>
        <v>179</v>
      </c>
      <c r="BX5" s="1">
        <f t="shared" si="8"/>
        <v>-1</v>
      </c>
      <c r="CF5" t="s">
        <v>33</v>
      </c>
    </row>
    <row r="6" spans="1:84" x14ac:dyDescent="0.25">
      <c r="A6" s="19" t="s">
        <v>21</v>
      </c>
      <c r="B6" s="53" t="s">
        <v>16</v>
      </c>
      <c r="C6" s="26" t="s">
        <v>17</v>
      </c>
      <c r="D6" s="20" t="s">
        <v>17</v>
      </c>
      <c r="E6" s="20" t="s">
        <v>17</v>
      </c>
      <c r="F6" s="21">
        <v>0</v>
      </c>
      <c r="G6" s="21">
        <v>0</v>
      </c>
      <c r="H6" s="21">
        <v>1</v>
      </c>
      <c r="I6" s="21">
        <v>0</v>
      </c>
      <c r="J6" s="21">
        <v>0</v>
      </c>
      <c r="K6" s="21">
        <v>0</v>
      </c>
      <c r="L6" s="14">
        <f>(7*F6)+(7*G6)+(12*H6)+(12*J6)+(12*K6)</f>
        <v>12</v>
      </c>
      <c r="M6" s="53" t="s">
        <v>18</v>
      </c>
      <c r="N6" s="56" t="s">
        <v>16</v>
      </c>
      <c r="O6" s="56" t="s">
        <v>16</v>
      </c>
      <c r="P6" s="56" t="s">
        <v>16</v>
      </c>
      <c r="Q6" s="26" t="s">
        <v>17</v>
      </c>
      <c r="R6" s="63" t="s">
        <v>22</v>
      </c>
      <c r="S6" s="63" t="s">
        <v>22</v>
      </c>
      <c r="T6" s="21">
        <v>0</v>
      </c>
      <c r="U6" s="21">
        <v>0</v>
      </c>
      <c r="V6" s="21">
        <v>3</v>
      </c>
      <c r="W6" s="21">
        <v>0</v>
      </c>
      <c r="X6" s="21">
        <v>2</v>
      </c>
      <c r="Y6" s="21">
        <v>1</v>
      </c>
      <c r="Z6" s="14">
        <f>(7*T6)+(7*U6)+(12*V6)+(12*X6)+(12*Y6)</f>
        <v>72</v>
      </c>
      <c r="AA6" s="53" t="s">
        <v>18</v>
      </c>
      <c r="AB6" s="56" t="s">
        <v>16</v>
      </c>
      <c r="AC6" s="56" t="s">
        <v>16</v>
      </c>
      <c r="AD6" s="56" t="s">
        <v>16</v>
      </c>
      <c r="AE6" s="26" t="s">
        <v>17</v>
      </c>
      <c r="AF6" s="20" t="s">
        <v>17</v>
      </c>
      <c r="AG6" s="20" t="s">
        <v>17</v>
      </c>
      <c r="AH6" s="21">
        <v>0</v>
      </c>
      <c r="AI6" s="21">
        <v>1</v>
      </c>
      <c r="AJ6" s="21">
        <v>3</v>
      </c>
      <c r="AK6" s="21">
        <v>0</v>
      </c>
      <c r="AL6" s="21">
        <v>0</v>
      </c>
      <c r="AM6" s="21">
        <v>0</v>
      </c>
      <c r="AN6" s="14">
        <f>(7*AH6)+(7*AI6)+(12*AJ6)+(12*AL6)+(12*AM6)</f>
        <v>43</v>
      </c>
      <c r="AO6" s="53" t="s">
        <v>18</v>
      </c>
      <c r="AP6" s="56" t="s">
        <v>16</v>
      </c>
      <c r="AQ6" s="56" t="s">
        <v>16</v>
      </c>
      <c r="AR6" s="56" t="s">
        <v>16</v>
      </c>
      <c r="AS6" s="26" t="s">
        <v>17</v>
      </c>
      <c r="AT6" s="20" t="s">
        <v>17</v>
      </c>
      <c r="AU6" s="20" t="s">
        <v>17</v>
      </c>
      <c r="AV6" s="21">
        <v>0</v>
      </c>
      <c r="AW6" s="21">
        <v>0</v>
      </c>
      <c r="AX6" s="21">
        <v>3</v>
      </c>
      <c r="AY6" s="21">
        <v>0</v>
      </c>
      <c r="AZ6" s="21">
        <v>0</v>
      </c>
      <c r="BA6" s="21">
        <v>1</v>
      </c>
      <c r="BB6" s="14">
        <f t="shared" si="20"/>
        <v>48</v>
      </c>
      <c r="BC6" s="53" t="s">
        <v>18</v>
      </c>
      <c r="BD6" s="56" t="s">
        <v>16</v>
      </c>
      <c r="BE6" s="56" t="s">
        <v>16</v>
      </c>
      <c r="BF6" s="56" t="s">
        <v>16</v>
      </c>
      <c r="BG6" s="26" t="s">
        <v>17</v>
      </c>
      <c r="BH6" s="20" t="s">
        <v>17</v>
      </c>
      <c r="BI6" s="21">
        <v>0</v>
      </c>
      <c r="BJ6" s="21">
        <v>0</v>
      </c>
      <c r="BK6" s="21">
        <v>3</v>
      </c>
      <c r="BL6" s="21">
        <v>0</v>
      </c>
      <c r="BM6" s="21">
        <v>0</v>
      </c>
      <c r="BN6" s="21">
        <v>1</v>
      </c>
      <c r="BO6" s="14">
        <f t="shared" si="21"/>
        <v>48</v>
      </c>
      <c r="BP6" s="22">
        <f t="shared" si="0"/>
        <v>0</v>
      </c>
      <c r="BQ6" s="23">
        <f t="shared" si="1"/>
        <v>1</v>
      </c>
      <c r="BR6" s="24">
        <f t="shared" si="2"/>
        <v>0</v>
      </c>
      <c r="BS6" s="23">
        <f t="shared" si="3"/>
        <v>13</v>
      </c>
      <c r="BT6" s="23">
        <f t="shared" si="4"/>
        <v>2</v>
      </c>
      <c r="BU6" s="23">
        <f t="shared" si="5"/>
        <v>3</v>
      </c>
      <c r="BV6" s="42">
        <f t="shared" si="6"/>
        <v>19</v>
      </c>
      <c r="BW6" s="25">
        <f t="shared" si="7"/>
        <v>223</v>
      </c>
      <c r="BX6" s="1">
        <f t="shared" si="8"/>
        <v>43</v>
      </c>
    </row>
    <row r="7" spans="1:84" x14ac:dyDescent="0.25">
      <c r="A7" s="19" t="s">
        <v>38</v>
      </c>
      <c r="B7" s="53" t="s">
        <v>18</v>
      </c>
      <c r="C7" s="53" t="s">
        <v>18</v>
      </c>
      <c r="D7" s="66" t="s">
        <v>13</v>
      </c>
      <c r="E7" s="54" t="s">
        <v>18</v>
      </c>
      <c r="F7" s="21">
        <v>1</v>
      </c>
      <c r="G7" s="21">
        <v>0</v>
      </c>
      <c r="H7" s="21">
        <v>0</v>
      </c>
      <c r="I7" s="21">
        <v>0</v>
      </c>
      <c r="J7" s="21">
        <v>0</v>
      </c>
      <c r="K7" s="21">
        <v>3</v>
      </c>
      <c r="L7" s="14">
        <f t="shared" ref="L7:L17" si="22">(7*F7)+(7*G7)+(12*H7)+(12*J7)+(12*K7)</f>
        <v>43</v>
      </c>
      <c r="M7" s="65" t="s">
        <v>13</v>
      </c>
      <c r="N7" s="26" t="s">
        <v>17</v>
      </c>
      <c r="O7" s="26" t="s">
        <v>17</v>
      </c>
      <c r="P7" s="53" t="s">
        <v>18</v>
      </c>
      <c r="Q7" s="53" t="s">
        <v>18</v>
      </c>
      <c r="R7" s="20" t="s">
        <v>17</v>
      </c>
      <c r="S7" s="54" t="s">
        <v>18</v>
      </c>
      <c r="T7" s="21">
        <v>1</v>
      </c>
      <c r="U7" s="21">
        <v>0</v>
      </c>
      <c r="V7" s="21">
        <v>0</v>
      </c>
      <c r="W7" s="21">
        <v>0</v>
      </c>
      <c r="X7" s="21">
        <v>0</v>
      </c>
      <c r="Y7" s="21">
        <v>3</v>
      </c>
      <c r="Z7" s="14">
        <f t="shared" ref="Z7:Z17" si="23">(7*T7)+(7*U7)+(12*V7)+(12*X7)+(12*Y7)</f>
        <v>43</v>
      </c>
      <c r="AA7" s="65" t="s">
        <v>13</v>
      </c>
      <c r="AB7" s="26" t="s">
        <v>17</v>
      </c>
      <c r="AC7" s="26" t="s">
        <v>17</v>
      </c>
      <c r="AD7" s="53" t="s">
        <v>18</v>
      </c>
      <c r="AE7" s="53" t="s">
        <v>18</v>
      </c>
      <c r="AF7" s="20" t="s">
        <v>17</v>
      </c>
      <c r="AG7" s="54" t="s">
        <v>18</v>
      </c>
      <c r="AH7" s="21">
        <v>1</v>
      </c>
      <c r="AI7" s="21">
        <v>0</v>
      </c>
      <c r="AJ7" s="21">
        <v>0</v>
      </c>
      <c r="AK7" s="21">
        <v>0</v>
      </c>
      <c r="AL7" s="21">
        <v>0</v>
      </c>
      <c r="AM7" s="21">
        <v>3</v>
      </c>
      <c r="AN7" s="14">
        <f t="shared" ref="AN7:AN17" si="24">(7*AH7)+(7*AI7)+(12*AJ7)+(12*AL7)+(12*AM7)</f>
        <v>43</v>
      </c>
      <c r="AO7" s="26" t="s">
        <v>17</v>
      </c>
      <c r="AP7" s="26" t="s">
        <v>17</v>
      </c>
      <c r="AQ7" s="26" t="s">
        <v>17</v>
      </c>
      <c r="AR7" s="53" t="s">
        <v>18</v>
      </c>
      <c r="AS7" s="53" t="s">
        <v>18</v>
      </c>
      <c r="AT7" s="20" t="s">
        <v>17</v>
      </c>
      <c r="AU7" s="66" t="s">
        <v>13</v>
      </c>
      <c r="AV7" s="21">
        <v>1</v>
      </c>
      <c r="AW7" s="21">
        <v>0</v>
      </c>
      <c r="AX7" s="21">
        <v>0</v>
      </c>
      <c r="AY7" s="21">
        <v>0</v>
      </c>
      <c r="AZ7" s="21">
        <v>0</v>
      </c>
      <c r="BA7" s="21">
        <v>2</v>
      </c>
      <c r="BB7" s="14">
        <f t="shared" si="20"/>
        <v>31</v>
      </c>
      <c r="BC7" s="26" t="s">
        <v>17</v>
      </c>
      <c r="BD7" s="26" t="s">
        <v>17</v>
      </c>
      <c r="BE7" s="26" t="s">
        <v>17</v>
      </c>
      <c r="BF7" s="53" t="s">
        <v>18</v>
      </c>
      <c r="BG7" s="53" t="s">
        <v>18</v>
      </c>
      <c r="BH7" s="20" t="s">
        <v>17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2</v>
      </c>
      <c r="BO7" s="14">
        <f t="shared" si="21"/>
        <v>24</v>
      </c>
      <c r="BP7" s="22">
        <f t="shared" si="0"/>
        <v>4</v>
      </c>
      <c r="BQ7" s="23">
        <f t="shared" si="1"/>
        <v>0</v>
      </c>
      <c r="BR7" s="24">
        <f t="shared" si="2"/>
        <v>0</v>
      </c>
      <c r="BS7" s="23">
        <f t="shared" si="3"/>
        <v>0</v>
      </c>
      <c r="BT7" s="23">
        <f t="shared" si="4"/>
        <v>0</v>
      </c>
      <c r="BU7" s="23">
        <f t="shared" si="5"/>
        <v>13</v>
      </c>
      <c r="BV7" s="42">
        <f t="shared" si="6"/>
        <v>17</v>
      </c>
      <c r="BW7" s="25">
        <f t="shared" si="7"/>
        <v>184</v>
      </c>
      <c r="BX7" s="1">
        <f t="shared" si="8"/>
        <v>4</v>
      </c>
    </row>
    <row r="8" spans="1:84" x14ac:dyDescent="0.25">
      <c r="A8" s="19" t="s">
        <v>23</v>
      </c>
      <c r="B8" s="59" t="s">
        <v>39</v>
      </c>
      <c r="C8" s="59" t="s">
        <v>39</v>
      </c>
      <c r="D8" s="20" t="s">
        <v>17</v>
      </c>
      <c r="E8" s="20" t="s">
        <v>17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14">
        <f t="shared" si="22"/>
        <v>0</v>
      </c>
      <c r="M8" s="59" t="s">
        <v>39</v>
      </c>
      <c r="N8" s="59" t="s">
        <v>39</v>
      </c>
      <c r="O8" s="59" t="s">
        <v>39</v>
      </c>
      <c r="P8" s="59" t="s">
        <v>39</v>
      </c>
      <c r="Q8" s="59" t="s">
        <v>39</v>
      </c>
      <c r="R8" s="20" t="s">
        <v>17</v>
      </c>
      <c r="S8" s="20" t="s">
        <v>17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14">
        <f t="shared" si="23"/>
        <v>0</v>
      </c>
      <c r="AA8" s="59" t="s">
        <v>39</v>
      </c>
      <c r="AB8" s="59" t="s">
        <v>39</v>
      </c>
      <c r="AC8" s="59" t="s">
        <v>39</v>
      </c>
      <c r="AD8" s="59" t="s">
        <v>39</v>
      </c>
      <c r="AE8" s="59" t="s">
        <v>39</v>
      </c>
      <c r="AF8" s="20" t="s">
        <v>17</v>
      </c>
      <c r="AG8" s="20" t="s">
        <v>17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14">
        <f t="shared" si="24"/>
        <v>0</v>
      </c>
      <c r="AO8" s="59" t="s">
        <v>39</v>
      </c>
      <c r="AP8" s="59" t="s">
        <v>39</v>
      </c>
      <c r="AQ8" s="59" t="s">
        <v>39</v>
      </c>
      <c r="AR8" s="59" t="s">
        <v>39</v>
      </c>
      <c r="AS8" s="59" t="s">
        <v>39</v>
      </c>
      <c r="AT8" s="20" t="s">
        <v>17</v>
      </c>
      <c r="AU8" s="20" t="s">
        <v>17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14">
        <f t="shared" si="20"/>
        <v>0</v>
      </c>
      <c r="BC8" s="59" t="s">
        <v>39</v>
      </c>
      <c r="BD8" s="59" t="s">
        <v>39</v>
      </c>
      <c r="BE8" s="59" t="s">
        <v>39</v>
      </c>
      <c r="BF8" s="59" t="s">
        <v>39</v>
      </c>
      <c r="BG8" s="59" t="s">
        <v>39</v>
      </c>
      <c r="BH8" s="20" t="s">
        <v>17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14">
        <f t="shared" si="21"/>
        <v>0</v>
      </c>
      <c r="BP8" s="22">
        <f t="shared" si="0"/>
        <v>0</v>
      </c>
      <c r="BQ8" s="23">
        <f t="shared" si="1"/>
        <v>0</v>
      </c>
      <c r="BR8" s="24">
        <f t="shared" si="2"/>
        <v>0</v>
      </c>
      <c r="BS8" s="23">
        <f t="shared" si="3"/>
        <v>0</v>
      </c>
      <c r="BT8" s="23">
        <f t="shared" si="4"/>
        <v>0</v>
      </c>
      <c r="BU8" s="23">
        <f t="shared" si="5"/>
        <v>0</v>
      </c>
      <c r="BV8" s="42">
        <f t="shared" si="6"/>
        <v>0</v>
      </c>
      <c r="BW8" s="25">
        <f t="shared" si="7"/>
        <v>0</v>
      </c>
      <c r="BX8" s="1">
        <f t="shared" si="8"/>
        <v>-180</v>
      </c>
    </row>
    <row r="9" spans="1:84" x14ac:dyDescent="0.25">
      <c r="A9" s="19" t="s">
        <v>24</v>
      </c>
      <c r="B9" s="26" t="s">
        <v>17</v>
      </c>
      <c r="C9" s="56" t="s">
        <v>16</v>
      </c>
      <c r="D9" s="57" t="s">
        <v>16</v>
      </c>
      <c r="E9" s="57" t="s">
        <v>16</v>
      </c>
      <c r="F9" s="21">
        <v>0</v>
      </c>
      <c r="G9" s="21">
        <v>0</v>
      </c>
      <c r="H9" s="21">
        <v>3</v>
      </c>
      <c r="I9" s="21">
        <v>0</v>
      </c>
      <c r="J9" s="21">
        <v>0</v>
      </c>
      <c r="K9" s="21">
        <v>0</v>
      </c>
      <c r="L9" s="14">
        <f t="shared" si="22"/>
        <v>36</v>
      </c>
      <c r="M9" s="26" t="s">
        <v>17</v>
      </c>
      <c r="N9" s="26" t="s">
        <v>17</v>
      </c>
      <c r="O9" s="26" t="s">
        <v>17</v>
      </c>
      <c r="P9" s="56" t="s">
        <v>16</v>
      </c>
      <c r="Q9" s="56" t="s">
        <v>16</v>
      </c>
      <c r="R9" s="57" t="s">
        <v>16</v>
      </c>
      <c r="S9" s="57" t="s">
        <v>16</v>
      </c>
      <c r="T9" s="21">
        <v>0</v>
      </c>
      <c r="U9" s="21">
        <v>0</v>
      </c>
      <c r="V9" s="21">
        <v>4</v>
      </c>
      <c r="W9" s="21">
        <v>0</v>
      </c>
      <c r="X9" s="21">
        <v>0</v>
      </c>
      <c r="Y9" s="21">
        <v>0</v>
      </c>
      <c r="Z9" s="14">
        <f t="shared" si="23"/>
        <v>48</v>
      </c>
      <c r="AA9" s="26" t="s">
        <v>17</v>
      </c>
      <c r="AB9" s="26" t="s">
        <v>17</v>
      </c>
      <c r="AC9" s="26" t="s">
        <v>17</v>
      </c>
      <c r="AD9" s="26" t="s">
        <v>17</v>
      </c>
      <c r="AE9" s="56" t="s">
        <v>16</v>
      </c>
      <c r="AF9" s="57" t="s">
        <v>16</v>
      </c>
      <c r="AG9" s="57" t="s">
        <v>16</v>
      </c>
      <c r="AH9" s="21">
        <v>0</v>
      </c>
      <c r="AI9" s="21">
        <v>0</v>
      </c>
      <c r="AJ9" s="21">
        <v>3</v>
      </c>
      <c r="AK9" s="21">
        <v>0</v>
      </c>
      <c r="AL9" s="21">
        <v>0</v>
      </c>
      <c r="AM9" s="21">
        <v>0</v>
      </c>
      <c r="AN9" s="14">
        <f t="shared" si="24"/>
        <v>36</v>
      </c>
      <c r="AO9" s="26" t="s">
        <v>17</v>
      </c>
      <c r="AP9" s="26" t="s">
        <v>17</v>
      </c>
      <c r="AQ9" s="26" t="s">
        <v>17</v>
      </c>
      <c r="AR9" s="26" t="s">
        <v>17</v>
      </c>
      <c r="AS9" s="56" t="s">
        <v>16</v>
      </c>
      <c r="AT9" s="57" t="s">
        <v>16</v>
      </c>
      <c r="AU9" s="57" t="s">
        <v>16</v>
      </c>
      <c r="AV9" s="21">
        <v>0</v>
      </c>
      <c r="AW9" s="21">
        <v>0</v>
      </c>
      <c r="AX9" s="21">
        <v>3</v>
      </c>
      <c r="AY9" s="21">
        <v>0</v>
      </c>
      <c r="AZ9" s="21">
        <v>0</v>
      </c>
      <c r="BA9" s="21">
        <v>0</v>
      </c>
      <c r="BB9" s="14">
        <f t="shared" si="20"/>
        <v>36</v>
      </c>
      <c r="BC9" s="26" t="s">
        <v>17</v>
      </c>
      <c r="BD9" s="26" t="s">
        <v>17</v>
      </c>
      <c r="BE9" s="26" t="s">
        <v>17</v>
      </c>
      <c r="BF9" s="26" t="s">
        <v>17</v>
      </c>
      <c r="BG9" s="56" t="s">
        <v>16</v>
      </c>
      <c r="BH9" s="57" t="s">
        <v>16</v>
      </c>
      <c r="BI9" s="21">
        <v>0</v>
      </c>
      <c r="BJ9" s="21">
        <v>0</v>
      </c>
      <c r="BK9" s="21">
        <v>2</v>
      </c>
      <c r="BL9" s="21">
        <v>0</v>
      </c>
      <c r="BM9" s="21">
        <v>0</v>
      </c>
      <c r="BN9" s="21">
        <v>0</v>
      </c>
      <c r="BO9" s="14">
        <f t="shared" si="21"/>
        <v>24</v>
      </c>
      <c r="BP9" s="22">
        <f t="shared" si="0"/>
        <v>0</v>
      </c>
      <c r="BQ9" s="23">
        <f t="shared" si="1"/>
        <v>0</v>
      </c>
      <c r="BR9" s="24">
        <f t="shared" si="2"/>
        <v>0</v>
      </c>
      <c r="BS9" s="23">
        <f t="shared" si="3"/>
        <v>15</v>
      </c>
      <c r="BT9" s="23">
        <f t="shared" si="4"/>
        <v>0</v>
      </c>
      <c r="BU9" s="23">
        <f t="shared" si="5"/>
        <v>0</v>
      </c>
      <c r="BV9" s="42">
        <f t="shared" si="6"/>
        <v>15</v>
      </c>
      <c r="BW9" s="25">
        <f t="shared" si="7"/>
        <v>180</v>
      </c>
      <c r="BX9" s="1">
        <f t="shared" si="8"/>
        <v>0</v>
      </c>
    </row>
    <row r="10" spans="1:84" x14ac:dyDescent="0.25">
      <c r="A10" s="27" t="s">
        <v>27</v>
      </c>
      <c r="B10" s="26" t="s">
        <v>17</v>
      </c>
      <c r="C10" s="26" t="s">
        <v>17</v>
      </c>
      <c r="D10" s="20" t="s">
        <v>17</v>
      </c>
      <c r="E10" s="20" t="s">
        <v>17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14">
        <f t="shared" si="22"/>
        <v>0</v>
      </c>
      <c r="M10" s="26" t="s">
        <v>17</v>
      </c>
      <c r="N10" s="53" t="s">
        <v>18</v>
      </c>
      <c r="O10" s="53" t="s">
        <v>18</v>
      </c>
      <c r="P10" s="53" t="s">
        <v>18</v>
      </c>
      <c r="Q10" s="26" t="s">
        <v>17</v>
      </c>
      <c r="R10" s="54" t="s">
        <v>18</v>
      </c>
      <c r="S10" s="20" t="s">
        <v>17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4</v>
      </c>
      <c r="Z10" s="14">
        <f t="shared" si="23"/>
        <v>48</v>
      </c>
      <c r="AA10" s="26" t="s">
        <v>17</v>
      </c>
      <c r="AB10" s="53" t="s">
        <v>18</v>
      </c>
      <c r="AC10" s="53" t="s">
        <v>18</v>
      </c>
      <c r="AD10" s="53" t="s">
        <v>18</v>
      </c>
      <c r="AE10" s="26" t="s">
        <v>17</v>
      </c>
      <c r="AF10" s="20" t="s">
        <v>17</v>
      </c>
      <c r="AG10" s="20" t="s">
        <v>17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3</v>
      </c>
      <c r="AN10" s="14">
        <f>(7*AH10)+(7*AI10)+(12*AJ10)+(12*AL10)+(12*AM10)</f>
        <v>36</v>
      </c>
      <c r="AO10" s="26" t="s">
        <v>17</v>
      </c>
      <c r="AP10" s="53" t="s">
        <v>18</v>
      </c>
      <c r="AQ10" s="53" t="s">
        <v>18</v>
      </c>
      <c r="AR10" s="53" t="s">
        <v>18</v>
      </c>
      <c r="AS10" s="26" t="s">
        <v>17</v>
      </c>
      <c r="AT10" s="54" t="s">
        <v>18</v>
      </c>
      <c r="AU10" s="20" t="s">
        <v>17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4</v>
      </c>
      <c r="BB10" s="14">
        <f t="shared" si="20"/>
        <v>48</v>
      </c>
      <c r="BC10" s="26" t="s">
        <v>17</v>
      </c>
      <c r="BD10" s="53" t="s">
        <v>18</v>
      </c>
      <c r="BE10" s="53" t="s">
        <v>18</v>
      </c>
      <c r="BF10" s="53" t="s">
        <v>18</v>
      </c>
      <c r="BG10" s="26" t="s">
        <v>17</v>
      </c>
      <c r="BH10" s="54" t="s">
        <v>18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4</v>
      </c>
      <c r="BO10" s="14">
        <f t="shared" si="21"/>
        <v>48</v>
      </c>
      <c r="BP10" s="22">
        <f t="shared" si="0"/>
        <v>0</v>
      </c>
      <c r="BQ10" s="23">
        <f t="shared" si="1"/>
        <v>0</v>
      </c>
      <c r="BR10" s="24">
        <f t="shared" si="2"/>
        <v>0</v>
      </c>
      <c r="BS10" s="23">
        <f t="shared" si="3"/>
        <v>0</v>
      </c>
      <c r="BT10" s="23">
        <f t="shared" si="4"/>
        <v>0</v>
      </c>
      <c r="BU10" s="23">
        <f t="shared" si="5"/>
        <v>15</v>
      </c>
      <c r="BV10" s="42">
        <f t="shared" si="6"/>
        <v>15</v>
      </c>
      <c r="BW10" s="25">
        <f t="shared" si="7"/>
        <v>180</v>
      </c>
      <c r="BX10" s="5">
        <f t="shared" si="8"/>
        <v>0</v>
      </c>
    </row>
    <row r="11" spans="1:84" x14ac:dyDescent="0.25">
      <c r="A11" s="27" t="s">
        <v>25</v>
      </c>
      <c r="B11" s="60" t="s">
        <v>35</v>
      </c>
      <c r="C11" s="60" t="s">
        <v>35</v>
      </c>
      <c r="D11" s="20" t="s">
        <v>17</v>
      </c>
      <c r="E11" s="20" t="s">
        <v>17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14">
        <f t="shared" si="22"/>
        <v>0</v>
      </c>
      <c r="M11" s="60" t="s">
        <v>35</v>
      </c>
      <c r="N11" s="60" t="s">
        <v>35</v>
      </c>
      <c r="O11" s="60" t="s">
        <v>35</v>
      </c>
      <c r="P11" s="60" t="s">
        <v>35</v>
      </c>
      <c r="Q11" s="60" t="s">
        <v>35</v>
      </c>
      <c r="R11" s="20" t="s">
        <v>17</v>
      </c>
      <c r="S11" s="20" t="s">
        <v>17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14">
        <f t="shared" si="23"/>
        <v>0</v>
      </c>
      <c r="AA11" s="60" t="s">
        <v>35</v>
      </c>
      <c r="AB11" s="60" t="s">
        <v>35</v>
      </c>
      <c r="AC11" s="60" t="s">
        <v>35</v>
      </c>
      <c r="AD11" s="60" t="s">
        <v>35</v>
      </c>
      <c r="AE11" s="60" t="s">
        <v>35</v>
      </c>
      <c r="AF11" s="20" t="s">
        <v>17</v>
      </c>
      <c r="AG11" s="20" t="s">
        <v>17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14">
        <f t="shared" si="24"/>
        <v>0</v>
      </c>
      <c r="AO11" s="60" t="s">
        <v>35</v>
      </c>
      <c r="AP11" s="60" t="s">
        <v>35</v>
      </c>
      <c r="AQ11" s="60" t="s">
        <v>35</v>
      </c>
      <c r="AR11" s="60" t="s">
        <v>35</v>
      </c>
      <c r="AS11" s="60" t="s">
        <v>35</v>
      </c>
      <c r="AT11" s="20" t="s">
        <v>17</v>
      </c>
      <c r="AU11" s="20" t="s">
        <v>17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14">
        <f t="shared" si="20"/>
        <v>0</v>
      </c>
      <c r="BC11" s="60" t="s">
        <v>35</v>
      </c>
      <c r="BD11" s="60" t="s">
        <v>35</v>
      </c>
      <c r="BE11" s="60" t="s">
        <v>35</v>
      </c>
      <c r="BF11" s="60" t="s">
        <v>35</v>
      </c>
      <c r="BG11" s="60" t="s">
        <v>35</v>
      </c>
      <c r="BH11" s="20" t="s">
        <v>17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14">
        <f t="shared" si="21"/>
        <v>0</v>
      </c>
      <c r="BP11" s="22">
        <f t="shared" si="0"/>
        <v>0</v>
      </c>
      <c r="BQ11" s="23">
        <f t="shared" si="1"/>
        <v>0</v>
      </c>
      <c r="BR11" s="24">
        <f t="shared" si="2"/>
        <v>0</v>
      </c>
      <c r="BS11" s="23">
        <f t="shared" si="3"/>
        <v>0</v>
      </c>
      <c r="BT11" s="23">
        <f t="shared" si="4"/>
        <v>0</v>
      </c>
      <c r="BU11" s="23">
        <f t="shared" si="5"/>
        <v>0</v>
      </c>
      <c r="BV11" s="28">
        <f t="shared" si="6"/>
        <v>0</v>
      </c>
      <c r="BW11" s="25">
        <f t="shared" si="7"/>
        <v>0</v>
      </c>
      <c r="BX11" s="5">
        <f t="shared" si="8"/>
        <v>-180</v>
      </c>
    </row>
    <row r="12" spans="1:84" x14ac:dyDescent="0.25">
      <c r="A12" s="50" t="s">
        <v>28</v>
      </c>
      <c r="B12" s="62" t="s">
        <v>22</v>
      </c>
      <c r="C12" s="62" t="s">
        <v>22</v>
      </c>
      <c r="D12" s="20" t="s">
        <v>17</v>
      </c>
      <c r="E12" s="20" t="s">
        <v>17</v>
      </c>
      <c r="F12" s="21">
        <v>0</v>
      </c>
      <c r="G12" s="21">
        <v>0</v>
      </c>
      <c r="H12" s="21">
        <v>0</v>
      </c>
      <c r="I12" s="21">
        <v>0</v>
      </c>
      <c r="J12" s="21">
        <v>2</v>
      </c>
      <c r="K12" s="21">
        <v>0</v>
      </c>
      <c r="L12" s="14">
        <f t="shared" si="22"/>
        <v>24</v>
      </c>
      <c r="M12" s="26" t="s">
        <v>17</v>
      </c>
      <c r="N12" s="26" t="s">
        <v>17</v>
      </c>
      <c r="O12" s="62" t="s">
        <v>22</v>
      </c>
      <c r="P12" s="62" t="s">
        <v>22</v>
      </c>
      <c r="Q12" s="26" t="s">
        <v>17</v>
      </c>
      <c r="R12" s="20" t="s">
        <v>17</v>
      </c>
      <c r="S12" s="20" t="s">
        <v>17</v>
      </c>
      <c r="T12" s="21">
        <v>0</v>
      </c>
      <c r="U12" s="21">
        <v>0</v>
      </c>
      <c r="V12" s="21">
        <v>0</v>
      </c>
      <c r="W12" s="21">
        <v>0</v>
      </c>
      <c r="X12" s="21">
        <v>2</v>
      </c>
      <c r="Y12" s="21">
        <v>0</v>
      </c>
      <c r="Z12" s="14">
        <f t="shared" si="23"/>
        <v>24</v>
      </c>
      <c r="AA12" s="26" t="s">
        <v>17</v>
      </c>
      <c r="AB12" s="62" t="s">
        <v>22</v>
      </c>
      <c r="AC12" s="26" t="s">
        <v>17</v>
      </c>
      <c r="AD12" s="26" t="s">
        <v>17</v>
      </c>
      <c r="AE12" s="62" t="s">
        <v>22</v>
      </c>
      <c r="AF12" s="63" t="s">
        <v>22</v>
      </c>
      <c r="AG12" s="63" t="s">
        <v>22</v>
      </c>
      <c r="AH12" s="21">
        <v>0</v>
      </c>
      <c r="AI12" s="21">
        <v>0</v>
      </c>
      <c r="AJ12" s="21">
        <v>0</v>
      </c>
      <c r="AK12" s="21">
        <v>0</v>
      </c>
      <c r="AL12" s="21">
        <v>4</v>
      </c>
      <c r="AM12" s="21">
        <v>0</v>
      </c>
      <c r="AN12" s="14">
        <f t="shared" ref="AN12" si="25">(7*AH12)+(7*AI12)+(12*AJ12)+(12*AL12)+(12*AM12)</f>
        <v>48</v>
      </c>
      <c r="AO12" s="62" t="s">
        <v>22</v>
      </c>
      <c r="AP12" s="26" t="s">
        <v>17</v>
      </c>
      <c r="AQ12" s="26" t="s">
        <v>17</v>
      </c>
      <c r="AR12" s="26" t="s">
        <v>17</v>
      </c>
      <c r="AS12" s="62" t="s">
        <v>22</v>
      </c>
      <c r="AT12" s="63" t="s">
        <v>22</v>
      </c>
      <c r="AU12" s="63" t="s">
        <v>22</v>
      </c>
      <c r="AV12" s="21">
        <v>0</v>
      </c>
      <c r="AW12" s="21">
        <v>0</v>
      </c>
      <c r="AX12" s="21">
        <v>0</v>
      </c>
      <c r="AY12" s="21">
        <v>0</v>
      </c>
      <c r="AZ12" s="21">
        <v>4</v>
      </c>
      <c r="BA12" s="21">
        <v>0</v>
      </c>
      <c r="BB12" s="14">
        <f t="shared" ref="BB12" si="26">(7*AV12)+(7*AW12)+(12*AX12)+(12*AZ12)+(12*BA12)</f>
        <v>48</v>
      </c>
      <c r="BC12" s="26" t="s">
        <v>17</v>
      </c>
      <c r="BD12" s="62" t="s">
        <v>22</v>
      </c>
      <c r="BE12" s="62" t="s">
        <v>22</v>
      </c>
      <c r="BF12" s="26" t="s">
        <v>17</v>
      </c>
      <c r="BG12" s="26" t="s">
        <v>17</v>
      </c>
      <c r="BH12" s="63" t="s">
        <v>22</v>
      </c>
      <c r="BI12" s="21">
        <v>0</v>
      </c>
      <c r="BJ12" s="21">
        <v>0</v>
      </c>
      <c r="BK12" s="21">
        <v>0</v>
      </c>
      <c r="BL12" s="21">
        <v>0</v>
      </c>
      <c r="BM12" s="21">
        <v>3</v>
      </c>
      <c r="BN12" s="21">
        <v>0</v>
      </c>
      <c r="BO12" s="14">
        <f t="shared" si="21"/>
        <v>36</v>
      </c>
      <c r="BP12" s="22">
        <f t="shared" si="0"/>
        <v>0</v>
      </c>
      <c r="BQ12" s="23">
        <f t="shared" si="1"/>
        <v>0</v>
      </c>
      <c r="BR12" s="24">
        <f t="shared" si="2"/>
        <v>0</v>
      </c>
      <c r="BS12" s="23">
        <f t="shared" si="3"/>
        <v>0</v>
      </c>
      <c r="BT12" s="23">
        <f t="shared" si="4"/>
        <v>15</v>
      </c>
      <c r="BU12" s="23">
        <f t="shared" si="5"/>
        <v>0</v>
      </c>
      <c r="BV12" s="42">
        <f>SUM(BP12:BU12)</f>
        <v>15</v>
      </c>
      <c r="BW12" s="51">
        <f t="shared" si="7"/>
        <v>180</v>
      </c>
      <c r="BX12" s="52">
        <f t="shared" si="8"/>
        <v>0</v>
      </c>
    </row>
    <row r="13" spans="1:84" x14ac:dyDescent="0.25">
      <c r="A13" s="27"/>
      <c r="B13" s="43"/>
      <c r="C13" s="43"/>
      <c r="D13" s="43"/>
      <c r="E13" s="43"/>
      <c r="F13" s="44"/>
      <c r="G13" s="44"/>
      <c r="H13" s="44"/>
      <c r="I13" s="44"/>
      <c r="J13" s="44"/>
      <c r="K13" s="44"/>
      <c r="L13" s="44"/>
      <c r="M13" s="43"/>
      <c r="N13" s="43"/>
      <c r="O13" s="43"/>
      <c r="P13" s="43"/>
      <c r="Q13" s="43"/>
      <c r="R13" s="43"/>
      <c r="S13" s="43"/>
      <c r="T13" s="44"/>
      <c r="U13" s="44"/>
      <c r="V13" s="44"/>
      <c r="W13" s="44"/>
      <c r="X13" s="44"/>
      <c r="Y13" s="44"/>
      <c r="Z13" s="44"/>
      <c r="AA13" s="43"/>
      <c r="AB13" s="43"/>
      <c r="AC13" s="43"/>
      <c r="AD13" s="43"/>
      <c r="AE13" s="43"/>
      <c r="AF13" s="43"/>
      <c r="AG13" s="43"/>
      <c r="AH13" s="44"/>
      <c r="AI13" s="44"/>
      <c r="AJ13" s="44"/>
      <c r="AK13" s="44"/>
      <c r="AL13" s="44"/>
      <c r="AM13" s="44"/>
      <c r="AN13" s="44"/>
      <c r="AO13" s="43"/>
      <c r="AP13" s="43"/>
      <c r="AQ13" s="43"/>
      <c r="AR13" s="43"/>
      <c r="AS13" s="43"/>
      <c r="AT13" s="43"/>
      <c r="AU13" s="43"/>
      <c r="AV13" s="44"/>
      <c r="AW13" s="44"/>
      <c r="AX13" s="44"/>
      <c r="AY13" s="44"/>
      <c r="AZ13" s="44"/>
      <c r="BA13" s="44"/>
      <c r="BB13" s="44"/>
      <c r="BC13" s="43"/>
      <c r="BD13" s="43"/>
      <c r="BE13" s="43"/>
      <c r="BF13" s="43"/>
      <c r="BG13" s="43"/>
      <c r="BH13" s="43"/>
      <c r="BI13" s="43"/>
      <c r="BJ13" s="44"/>
      <c r="BK13" s="44"/>
      <c r="BL13" s="44"/>
      <c r="BM13" s="44"/>
      <c r="BN13" s="44"/>
      <c r="BO13" s="44"/>
      <c r="BP13" s="45"/>
      <c r="BQ13" s="46"/>
      <c r="BR13" s="47"/>
      <c r="BS13" s="46"/>
      <c r="BT13" s="46"/>
      <c r="BU13" s="46"/>
      <c r="BV13" s="28"/>
      <c r="BW13" s="48">
        <f>SUM(BW3:BW12)</f>
        <v>1342</v>
      </c>
      <c r="BX13" s="5"/>
    </row>
    <row r="14" spans="1:84" x14ac:dyDescent="0.25">
      <c r="A14" s="29" t="s">
        <v>41</v>
      </c>
      <c r="B14" s="30" t="s">
        <v>17</v>
      </c>
      <c r="C14" s="30" t="s">
        <v>17</v>
      </c>
      <c r="D14" s="30" t="s">
        <v>17</v>
      </c>
      <c r="E14" s="30" t="s">
        <v>17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f>(7*F14)+(7*G14)+(12*H14)+(12*J14)+(12*K14)</f>
        <v>0</v>
      </c>
      <c r="M14" s="36" t="s">
        <v>18</v>
      </c>
      <c r="N14" s="36" t="s">
        <v>18</v>
      </c>
      <c r="O14" s="36" t="s">
        <v>18</v>
      </c>
      <c r="P14" s="30" t="s">
        <v>17</v>
      </c>
      <c r="Q14" s="30" t="s">
        <v>17</v>
      </c>
      <c r="R14" s="30" t="s">
        <v>17</v>
      </c>
      <c r="S14" s="30" t="s">
        <v>17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3</v>
      </c>
      <c r="Z14" s="31">
        <f>(7*T14)+(7*U14)+(12*V14)+(12*X14)+(12*Y14)</f>
        <v>36</v>
      </c>
      <c r="AA14" s="36" t="s">
        <v>18</v>
      </c>
      <c r="AB14" s="36" t="s">
        <v>18</v>
      </c>
      <c r="AC14" s="36" t="s">
        <v>18</v>
      </c>
      <c r="AD14" s="55" t="s">
        <v>16</v>
      </c>
      <c r="AE14" s="30" t="s">
        <v>17</v>
      </c>
      <c r="AF14" s="30" t="s">
        <v>17</v>
      </c>
      <c r="AG14" s="30" t="s">
        <v>17</v>
      </c>
      <c r="AH14" s="31">
        <v>0</v>
      </c>
      <c r="AI14" s="31">
        <v>0</v>
      </c>
      <c r="AJ14" s="31">
        <v>1</v>
      </c>
      <c r="AK14" s="31">
        <v>0</v>
      </c>
      <c r="AL14" s="31">
        <v>0</v>
      </c>
      <c r="AM14" s="31">
        <v>3</v>
      </c>
      <c r="AN14" s="31">
        <f>(7*AH14)+(7*AI14)+(12*AJ14)+(12*AL14)+(12*AM14)</f>
        <v>48</v>
      </c>
      <c r="AO14" s="36" t="s">
        <v>18</v>
      </c>
      <c r="AP14" s="36" t="s">
        <v>18</v>
      </c>
      <c r="AQ14" s="36" t="s">
        <v>18</v>
      </c>
      <c r="AR14" s="30" t="s">
        <v>17</v>
      </c>
      <c r="AS14" s="30" t="s">
        <v>17</v>
      </c>
      <c r="AT14" s="30" t="s">
        <v>17</v>
      </c>
      <c r="AU14" s="30" t="s">
        <v>17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3</v>
      </c>
      <c r="BB14" s="31">
        <f>(7*AV14)+(7*AW14)+(12*AX14)+(12*AZ14)+(12*BA14)</f>
        <v>36</v>
      </c>
      <c r="BC14" s="36" t="s">
        <v>18</v>
      </c>
      <c r="BD14" s="30" t="s">
        <v>17</v>
      </c>
      <c r="BE14" s="30" t="s">
        <v>17</v>
      </c>
      <c r="BF14" s="30" t="s">
        <v>17</v>
      </c>
      <c r="BG14" s="30" t="s">
        <v>17</v>
      </c>
      <c r="BH14" s="30" t="s">
        <v>17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1</v>
      </c>
      <c r="BO14" s="31">
        <f>(7*BI14)+(7*BJ14)+(12*BK14)+(12*BM14)+(12*BN14)</f>
        <v>12</v>
      </c>
      <c r="BP14" s="32">
        <f>SUM(F14,T14,AH14,AV14,BI14)</f>
        <v>0</v>
      </c>
      <c r="BQ14" s="33">
        <f>SUM(G14,U14,AI14,AW14,BJ14)</f>
        <v>0</v>
      </c>
      <c r="BR14" s="34">
        <f t="shared" ref="BR14:BR19" si="27">SUM(I14,W14,AK14,AY14,BL14)</f>
        <v>0</v>
      </c>
      <c r="BS14" s="33">
        <f t="shared" ref="BS14:BS19" si="28">SUM(H14,V14,AJ14,AX14,BK14)</f>
        <v>1</v>
      </c>
      <c r="BT14" s="33">
        <f>SUM(J14,X14,AL14,AZ14,BM14)</f>
        <v>0</v>
      </c>
      <c r="BU14" s="33">
        <f>SUM(K14,Y14,AM14,BA14,BN14)</f>
        <v>10</v>
      </c>
      <c r="BV14" s="35">
        <f>SUM(BP14:BU14)</f>
        <v>11</v>
      </c>
      <c r="BW14" s="36">
        <f t="shared" ref="BW14:BW19" si="29">SUM(L14,Z14,AN14,BB14,BO14)</f>
        <v>132</v>
      </c>
      <c r="BX14" s="3">
        <f>BW14-180</f>
        <v>-48</v>
      </c>
    </row>
    <row r="15" spans="1:84" x14ac:dyDescent="0.25">
      <c r="A15" s="29" t="s">
        <v>29</v>
      </c>
      <c r="B15" s="55" t="s">
        <v>16</v>
      </c>
      <c r="C15" s="30" t="s">
        <v>17</v>
      </c>
      <c r="D15" s="61" t="s">
        <v>14</v>
      </c>
      <c r="E15" s="30" t="s">
        <v>17</v>
      </c>
      <c r="F15" s="31">
        <v>0</v>
      </c>
      <c r="G15" s="31">
        <v>1</v>
      </c>
      <c r="H15" s="31">
        <v>1</v>
      </c>
      <c r="I15" s="31">
        <v>0</v>
      </c>
      <c r="J15" s="31">
        <v>0</v>
      </c>
      <c r="K15" s="31">
        <v>0</v>
      </c>
      <c r="L15" s="37">
        <f>(7*F15)+(7*G15)+(12*H15)+(12*J15)+(12*K15)</f>
        <v>19</v>
      </c>
      <c r="M15" s="55" t="s">
        <v>16</v>
      </c>
      <c r="N15" s="55" t="s">
        <v>16</v>
      </c>
      <c r="O15" s="55" t="s">
        <v>16</v>
      </c>
      <c r="P15" s="30" t="s">
        <v>17</v>
      </c>
      <c r="Q15" s="30" t="s">
        <v>17</v>
      </c>
      <c r="R15" s="30" t="s">
        <v>17</v>
      </c>
      <c r="S15" s="30" t="s">
        <v>17</v>
      </c>
      <c r="T15" s="31">
        <v>0</v>
      </c>
      <c r="U15" s="31">
        <v>0</v>
      </c>
      <c r="V15" s="31">
        <v>3</v>
      </c>
      <c r="W15" s="31">
        <v>0</v>
      </c>
      <c r="X15" s="31">
        <v>0</v>
      </c>
      <c r="Y15" s="31">
        <v>0</v>
      </c>
      <c r="Z15" s="31">
        <f>(7*T15)+(7*U15)+(12*V15)+(12*X15)+(12*Y15)</f>
        <v>36</v>
      </c>
      <c r="AA15" s="55" t="s">
        <v>16</v>
      </c>
      <c r="AB15" s="55" t="s">
        <v>16</v>
      </c>
      <c r="AC15" s="30" t="s">
        <v>17</v>
      </c>
      <c r="AD15" s="30" t="s">
        <v>17</v>
      </c>
      <c r="AE15" s="30" t="s">
        <v>17</v>
      </c>
      <c r="AF15" s="30" t="s">
        <v>17</v>
      </c>
      <c r="AG15" s="30" t="s">
        <v>17</v>
      </c>
      <c r="AH15" s="31">
        <v>0</v>
      </c>
      <c r="AI15" s="31">
        <v>0</v>
      </c>
      <c r="AJ15" s="31">
        <v>2</v>
      </c>
      <c r="AK15" s="31">
        <v>0</v>
      </c>
      <c r="AL15" s="31">
        <v>0</v>
      </c>
      <c r="AM15" s="31">
        <v>0</v>
      </c>
      <c r="AN15" s="31">
        <f>(7*AH15)+(7*AI15)+(12*AJ15)+(12*AL15)+(12*AM15)</f>
        <v>24</v>
      </c>
      <c r="AO15" s="55" t="s">
        <v>16</v>
      </c>
      <c r="AP15" s="55" t="s">
        <v>16</v>
      </c>
      <c r="AQ15" s="55" t="s">
        <v>16</v>
      </c>
      <c r="AR15" s="55" t="s">
        <v>16</v>
      </c>
      <c r="AS15" s="30" t="s">
        <v>17</v>
      </c>
      <c r="AT15" s="30" t="s">
        <v>17</v>
      </c>
      <c r="AU15" s="30" t="s">
        <v>17</v>
      </c>
      <c r="AV15" s="31">
        <v>0</v>
      </c>
      <c r="AW15" s="31">
        <v>0</v>
      </c>
      <c r="AX15" s="31">
        <v>4</v>
      </c>
      <c r="AY15" s="31">
        <v>0</v>
      </c>
      <c r="AZ15" s="31">
        <v>0</v>
      </c>
      <c r="BA15" s="31">
        <v>0</v>
      </c>
      <c r="BB15" s="31">
        <f>(7*AV15)+(7*AW15)+(12*AX15)+(12*AZ15)+(12*BA15)</f>
        <v>48</v>
      </c>
      <c r="BC15" s="55" t="s">
        <v>16</v>
      </c>
      <c r="BD15" s="55" t="s">
        <v>16</v>
      </c>
      <c r="BE15" s="55" t="s">
        <v>16</v>
      </c>
      <c r="BF15" s="55" t="s">
        <v>16</v>
      </c>
      <c r="BG15" s="30" t="s">
        <v>17</v>
      </c>
      <c r="BH15" s="30" t="s">
        <v>17</v>
      </c>
      <c r="BI15" s="31">
        <v>0</v>
      </c>
      <c r="BJ15" s="31">
        <v>0</v>
      </c>
      <c r="BK15" s="31">
        <v>3</v>
      </c>
      <c r="BL15" s="31">
        <v>0</v>
      </c>
      <c r="BM15" s="31">
        <v>0</v>
      </c>
      <c r="BN15" s="31">
        <v>0</v>
      </c>
      <c r="BO15" s="31">
        <v>0</v>
      </c>
      <c r="BP15" s="32">
        <f t="shared" ref="BP15:BQ19" si="30">SUM(F15,T15,AH15,AV15,BI15)</f>
        <v>0</v>
      </c>
      <c r="BQ15" s="33">
        <f t="shared" si="30"/>
        <v>1</v>
      </c>
      <c r="BR15" s="34">
        <f t="shared" si="27"/>
        <v>0</v>
      </c>
      <c r="BS15" s="33">
        <f t="shared" si="28"/>
        <v>13</v>
      </c>
      <c r="BT15" s="33">
        <f t="shared" ref="BT15:BU19" si="31">SUM(J15,X15,AL15,AZ15,BM15)</f>
        <v>0</v>
      </c>
      <c r="BU15" s="33">
        <f t="shared" si="31"/>
        <v>0</v>
      </c>
      <c r="BV15" s="35">
        <f>SUM(BP15:BU15)</f>
        <v>14</v>
      </c>
      <c r="BW15" s="36">
        <f t="shared" si="29"/>
        <v>127</v>
      </c>
      <c r="BX15" s="3">
        <f t="shared" ref="BX15:BX19" si="32">BW15-180</f>
        <v>-53</v>
      </c>
    </row>
    <row r="16" spans="1:84" x14ac:dyDescent="0.25">
      <c r="A16" s="29" t="s">
        <v>37</v>
      </c>
      <c r="B16" s="61" t="s">
        <v>14</v>
      </c>
      <c r="C16" s="61" t="s">
        <v>14</v>
      </c>
      <c r="D16" s="30" t="s">
        <v>17</v>
      </c>
      <c r="E16" s="30" t="s">
        <v>17</v>
      </c>
      <c r="F16" s="31">
        <v>0</v>
      </c>
      <c r="G16" s="31">
        <v>2</v>
      </c>
      <c r="H16" s="31">
        <v>0</v>
      </c>
      <c r="I16" s="31">
        <v>0</v>
      </c>
      <c r="J16" s="31">
        <v>0</v>
      </c>
      <c r="K16" s="31">
        <v>0</v>
      </c>
      <c r="L16" s="37">
        <f>(7*F16)+(7*G16)+(12*H16)+(12*J16)+(12*K16)</f>
        <v>14</v>
      </c>
      <c r="M16" s="61" t="s">
        <v>14</v>
      </c>
      <c r="N16" s="61" t="s">
        <v>14</v>
      </c>
      <c r="O16" s="61" t="s">
        <v>14</v>
      </c>
      <c r="P16" s="61" t="s">
        <v>14</v>
      </c>
      <c r="Q16" s="61" t="s">
        <v>14</v>
      </c>
      <c r="R16" s="30" t="s">
        <v>17</v>
      </c>
      <c r="S16" s="30" t="s">
        <v>17</v>
      </c>
      <c r="T16" s="31">
        <v>0</v>
      </c>
      <c r="U16" s="31">
        <v>5</v>
      </c>
      <c r="V16" s="31">
        <v>0</v>
      </c>
      <c r="W16" s="31">
        <v>0</v>
      </c>
      <c r="X16" s="31">
        <v>0</v>
      </c>
      <c r="Y16" s="31">
        <v>0</v>
      </c>
      <c r="Z16" s="31">
        <f>(7*T16)+(7*U16)+(12*V16)+(12*X16)+(12*Y16)</f>
        <v>35</v>
      </c>
      <c r="AA16" s="61" t="s">
        <v>14</v>
      </c>
      <c r="AB16" s="61" t="s">
        <v>14</v>
      </c>
      <c r="AC16" s="61" t="s">
        <v>14</v>
      </c>
      <c r="AD16" s="61" t="s">
        <v>14</v>
      </c>
      <c r="AE16" s="61" t="s">
        <v>14</v>
      </c>
      <c r="AF16" s="30" t="s">
        <v>17</v>
      </c>
      <c r="AG16" s="30" t="s">
        <v>17</v>
      </c>
      <c r="AH16" s="31">
        <v>0</v>
      </c>
      <c r="AI16" s="31">
        <v>5</v>
      </c>
      <c r="AJ16" s="31">
        <v>0</v>
      </c>
      <c r="AK16" s="31">
        <v>0</v>
      </c>
      <c r="AL16" s="31">
        <v>0</v>
      </c>
      <c r="AM16" s="31">
        <v>0</v>
      </c>
      <c r="AN16" s="31">
        <f>(7*AH16)+(7*AI16)+(12*AJ16)+(12*AL16)+(12*AM16)</f>
        <v>35</v>
      </c>
      <c r="AO16" s="30" t="s">
        <v>18</v>
      </c>
      <c r="AP16" s="61" t="s">
        <v>14</v>
      </c>
      <c r="AQ16" s="61" t="s">
        <v>14</v>
      </c>
      <c r="AR16" s="61" t="s">
        <v>14</v>
      </c>
      <c r="AS16" s="61" t="s">
        <v>14</v>
      </c>
      <c r="AT16" s="30" t="s">
        <v>17</v>
      </c>
      <c r="AU16" s="30" t="s">
        <v>17</v>
      </c>
      <c r="AV16" s="31">
        <v>0</v>
      </c>
      <c r="AW16" s="31">
        <v>4</v>
      </c>
      <c r="AX16" s="31">
        <v>0</v>
      </c>
      <c r="AY16" s="31">
        <v>0</v>
      </c>
      <c r="AZ16" s="31">
        <v>0</v>
      </c>
      <c r="BA16" s="31">
        <v>1</v>
      </c>
      <c r="BB16" s="31">
        <f>(7*AV16)+(7*AW16)+(12*AX16)+(12*AZ16)+(12*BA16)</f>
        <v>40</v>
      </c>
      <c r="BC16" s="61" t="s">
        <v>14</v>
      </c>
      <c r="BD16" s="61" t="s">
        <v>14</v>
      </c>
      <c r="BE16" s="61" t="s">
        <v>14</v>
      </c>
      <c r="BF16" s="61" t="s">
        <v>14</v>
      </c>
      <c r="BG16" s="61" t="s">
        <v>14</v>
      </c>
      <c r="BH16" s="30" t="s">
        <v>17</v>
      </c>
      <c r="BI16" s="31">
        <v>0</v>
      </c>
      <c r="BJ16" s="31">
        <v>5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2">
        <f t="shared" si="30"/>
        <v>0</v>
      </c>
      <c r="BQ16" s="33">
        <f t="shared" si="30"/>
        <v>21</v>
      </c>
      <c r="BR16" s="34">
        <f t="shared" si="27"/>
        <v>0</v>
      </c>
      <c r="BS16" s="33">
        <f t="shared" si="28"/>
        <v>0</v>
      </c>
      <c r="BT16" s="33">
        <f t="shared" si="31"/>
        <v>0</v>
      </c>
      <c r="BU16" s="33">
        <f t="shared" si="31"/>
        <v>1</v>
      </c>
      <c r="BV16" s="35">
        <f>SUM(BP16:BU16)</f>
        <v>22</v>
      </c>
      <c r="BW16" s="36">
        <f t="shared" si="29"/>
        <v>124</v>
      </c>
      <c r="BX16" s="3">
        <f t="shared" si="32"/>
        <v>-56</v>
      </c>
    </row>
    <row r="17" spans="1:76" x14ac:dyDescent="0.25">
      <c r="A17" s="29" t="s">
        <v>36</v>
      </c>
      <c r="B17" s="30" t="s">
        <v>17</v>
      </c>
      <c r="C17" s="30" t="s">
        <v>17</v>
      </c>
      <c r="D17" s="64" t="s">
        <v>22</v>
      </c>
      <c r="E17" s="64" t="s">
        <v>22</v>
      </c>
      <c r="F17" s="31">
        <v>0</v>
      </c>
      <c r="G17" s="31">
        <v>0</v>
      </c>
      <c r="H17" s="31">
        <v>0</v>
      </c>
      <c r="I17" s="31">
        <v>0</v>
      </c>
      <c r="J17" s="31">
        <v>2</v>
      </c>
      <c r="K17" s="31">
        <v>0</v>
      </c>
      <c r="L17" s="37">
        <f t="shared" si="22"/>
        <v>24</v>
      </c>
      <c r="M17" s="64" t="s">
        <v>22</v>
      </c>
      <c r="N17" s="64" t="s">
        <v>22</v>
      </c>
      <c r="O17" s="30" t="s">
        <v>17</v>
      </c>
      <c r="P17" s="30" t="s">
        <v>17</v>
      </c>
      <c r="Q17" s="64" t="s">
        <v>22</v>
      </c>
      <c r="R17" s="30" t="s">
        <v>17</v>
      </c>
      <c r="S17" s="30" t="s">
        <v>17</v>
      </c>
      <c r="T17" s="31">
        <v>0</v>
      </c>
      <c r="U17" s="31">
        <v>0</v>
      </c>
      <c r="V17" s="31">
        <v>0</v>
      </c>
      <c r="W17" s="31">
        <v>0</v>
      </c>
      <c r="X17" s="31">
        <v>3</v>
      </c>
      <c r="Y17" s="31">
        <v>0</v>
      </c>
      <c r="Z17" s="31">
        <f t="shared" si="23"/>
        <v>36</v>
      </c>
      <c r="AA17" s="64" t="s">
        <v>22</v>
      </c>
      <c r="AB17" s="30" t="s">
        <v>17</v>
      </c>
      <c r="AC17" s="64" t="s">
        <v>22</v>
      </c>
      <c r="AD17" s="64" t="s">
        <v>22</v>
      </c>
      <c r="AE17" s="30" t="s">
        <v>17</v>
      </c>
      <c r="AF17" s="30" t="s">
        <v>17</v>
      </c>
      <c r="AG17" s="30" t="s">
        <v>17</v>
      </c>
      <c r="AH17" s="31">
        <v>0</v>
      </c>
      <c r="AI17" s="31">
        <v>0</v>
      </c>
      <c r="AJ17" s="31">
        <v>0</v>
      </c>
      <c r="AK17" s="31">
        <v>0</v>
      </c>
      <c r="AL17" s="31">
        <v>3</v>
      </c>
      <c r="AM17" s="31">
        <v>0</v>
      </c>
      <c r="AN17" s="31">
        <f t="shared" si="24"/>
        <v>36</v>
      </c>
      <c r="AO17" s="30" t="s">
        <v>17</v>
      </c>
      <c r="AP17" s="64" t="s">
        <v>22</v>
      </c>
      <c r="AQ17" s="64" t="s">
        <v>22</v>
      </c>
      <c r="AR17" s="64" t="s">
        <v>22</v>
      </c>
      <c r="AS17" s="30" t="s">
        <v>17</v>
      </c>
      <c r="AT17" s="30" t="s">
        <v>17</v>
      </c>
      <c r="AU17" s="30" t="s">
        <v>17</v>
      </c>
      <c r="AV17" s="31">
        <v>0</v>
      </c>
      <c r="AW17" s="31">
        <v>0</v>
      </c>
      <c r="AX17" s="31">
        <v>0</v>
      </c>
      <c r="AY17" s="31">
        <v>0</v>
      </c>
      <c r="AZ17" s="31">
        <v>3</v>
      </c>
      <c r="BA17" s="31">
        <v>0</v>
      </c>
      <c r="BB17" s="31">
        <f t="shared" si="20"/>
        <v>36</v>
      </c>
      <c r="BC17" s="64" t="s">
        <v>22</v>
      </c>
      <c r="BD17" s="30" t="s">
        <v>17</v>
      </c>
      <c r="BE17" s="30" t="s">
        <v>17</v>
      </c>
      <c r="BF17" s="64" t="s">
        <v>22</v>
      </c>
      <c r="BG17" s="64" t="s">
        <v>22</v>
      </c>
      <c r="BH17" s="30" t="s">
        <v>17</v>
      </c>
      <c r="BI17" s="31">
        <v>0</v>
      </c>
      <c r="BJ17" s="31">
        <v>0</v>
      </c>
      <c r="BK17" s="31">
        <v>0</v>
      </c>
      <c r="BL17" s="31">
        <v>0</v>
      </c>
      <c r="BM17" s="31">
        <v>3</v>
      </c>
      <c r="BN17" s="31">
        <v>0</v>
      </c>
      <c r="BO17" s="31">
        <v>0</v>
      </c>
      <c r="BP17" s="32">
        <f t="shared" si="30"/>
        <v>0</v>
      </c>
      <c r="BQ17" s="33">
        <f t="shared" si="30"/>
        <v>0</v>
      </c>
      <c r="BR17" s="34">
        <f t="shared" si="27"/>
        <v>0</v>
      </c>
      <c r="BS17" s="33">
        <f t="shared" si="28"/>
        <v>0</v>
      </c>
      <c r="BT17" s="33">
        <f t="shared" si="31"/>
        <v>14</v>
      </c>
      <c r="BU17" s="33">
        <f t="shared" si="31"/>
        <v>0</v>
      </c>
      <c r="BV17" s="35">
        <f t="shared" si="6"/>
        <v>14</v>
      </c>
      <c r="BW17" s="36">
        <f t="shared" si="29"/>
        <v>132</v>
      </c>
      <c r="BX17" s="3">
        <f t="shared" si="32"/>
        <v>-48</v>
      </c>
    </row>
    <row r="18" spans="1:76" x14ac:dyDescent="0.25">
      <c r="A18" s="29" t="s">
        <v>32</v>
      </c>
      <c r="B18" s="36" t="s">
        <v>18</v>
      </c>
      <c r="C18" s="36" t="s">
        <v>18</v>
      </c>
      <c r="D18" s="30" t="s">
        <v>17</v>
      </c>
      <c r="E18" s="30" t="s">
        <v>17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2</v>
      </c>
      <c r="L18" s="31">
        <f>(7*F18)+(7*G18)+(12*H18)+(8*J18)+(12*K18)</f>
        <v>24</v>
      </c>
      <c r="M18" s="55" t="s">
        <v>16</v>
      </c>
      <c r="N18" s="30" t="s">
        <v>17</v>
      </c>
      <c r="O18" s="30" t="s">
        <v>17</v>
      </c>
      <c r="P18" s="30" t="s">
        <v>17</v>
      </c>
      <c r="Q18" s="36" t="s">
        <v>18</v>
      </c>
      <c r="R18" s="30" t="s">
        <v>17</v>
      </c>
      <c r="S18" s="36" t="s">
        <v>18</v>
      </c>
      <c r="T18" s="31">
        <v>0</v>
      </c>
      <c r="U18" s="31">
        <v>0</v>
      </c>
      <c r="V18" s="31">
        <v>1</v>
      </c>
      <c r="W18" s="31">
        <v>0</v>
      </c>
      <c r="X18" s="31">
        <v>0</v>
      </c>
      <c r="Y18" s="31">
        <v>2</v>
      </c>
      <c r="Z18" s="31">
        <f>(7*T18)+(7*U18)+(12*V18)+(8*X18)+(12*Y18)</f>
        <v>36</v>
      </c>
      <c r="AA18" s="55" t="s">
        <v>16</v>
      </c>
      <c r="AB18" s="30" t="s">
        <v>17</v>
      </c>
      <c r="AC18" s="55" t="s">
        <v>16</v>
      </c>
      <c r="AD18" s="30" t="s">
        <v>17</v>
      </c>
      <c r="AE18" s="36" t="s">
        <v>18</v>
      </c>
      <c r="AF18" s="36" t="s">
        <v>18</v>
      </c>
      <c r="AG18" s="36" t="s">
        <v>18</v>
      </c>
      <c r="AH18" s="31">
        <v>0</v>
      </c>
      <c r="AI18" s="31">
        <v>0</v>
      </c>
      <c r="AJ18" s="31">
        <v>2</v>
      </c>
      <c r="AK18" s="31">
        <v>0</v>
      </c>
      <c r="AL18" s="31">
        <v>0</v>
      </c>
      <c r="AM18" s="31">
        <v>3</v>
      </c>
      <c r="AN18" s="31">
        <f>(7*AH18)+(7*AI18)+(12*AJ18)+(8*AL18)+(12*AM18)</f>
        <v>60</v>
      </c>
      <c r="AO18" s="36" t="s">
        <v>16</v>
      </c>
      <c r="AP18" s="30" t="s">
        <v>17</v>
      </c>
      <c r="AQ18" s="30" t="s">
        <v>17</v>
      </c>
      <c r="AR18" s="30" t="s">
        <v>17</v>
      </c>
      <c r="AS18" s="36" t="s">
        <v>18</v>
      </c>
      <c r="AT18" s="30" t="s">
        <v>17</v>
      </c>
      <c r="AU18" s="36" t="s">
        <v>18</v>
      </c>
      <c r="AV18" s="31">
        <v>0</v>
      </c>
      <c r="AW18" s="31">
        <v>0</v>
      </c>
      <c r="AX18" s="31">
        <v>1</v>
      </c>
      <c r="AY18" s="31">
        <v>0</v>
      </c>
      <c r="AZ18" s="31">
        <v>0</v>
      </c>
      <c r="BA18" s="31">
        <v>2</v>
      </c>
      <c r="BB18" s="31">
        <f>(7*AV18)+(7*AW18)+(12*AX18)+(8*AZ18)+(12*BA18)</f>
        <v>36</v>
      </c>
      <c r="BC18" s="55" t="s">
        <v>16</v>
      </c>
      <c r="BD18" s="30" t="s">
        <v>17</v>
      </c>
      <c r="BE18" s="30" t="s">
        <v>17</v>
      </c>
      <c r="BF18" s="30" t="s">
        <v>17</v>
      </c>
      <c r="BG18" s="36" t="s">
        <v>18</v>
      </c>
      <c r="BH18" s="30" t="s">
        <v>17</v>
      </c>
      <c r="BI18" s="31">
        <v>0</v>
      </c>
      <c r="BJ18" s="31">
        <v>0</v>
      </c>
      <c r="BK18" s="31">
        <v>1</v>
      </c>
      <c r="BL18" s="31">
        <v>0</v>
      </c>
      <c r="BM18" s="31">
        <v>0</v>
      </c>
      <c r="BN18" s="31">
        <v>1</v>
      </c>
      <c r="BO18" s="31">
        <v>0</v>
      </c>
      <c r="BP18" s="32">
        <f t="shared" si="30"/>
        <v>0</v>
      </c>
      <c r="BQ18" s="33">
        <f t="shared" si="30"/>
        <v>0</v>
      </c>
      <c r="BR18" s="34">
        <f t="shared" si="27"/>
        <v>0</v>
      </c>
      <c r="BS18" s="33">
        <f t="shared" si="28"/>
        <v>5</v>
      </c>
      <c r="BT18" s="33">
        <f t="shared" si="31"/>
        <v>0</v>
      </c>
      <c r="BU18" s="33">
        <f t="shared" si="31"/>
        <v>10</v>
      </c>
      <c r="BV18" s="35">
        <f t="shared" si="6"/>
        <v>15</v>
      </c>
      <c r="BW18" s="36">
        <f t="shared" si="29"/>
        <v>156</v>
      </c>
      <c r="BX18" s="3">
        <f t="shared" si="32"/>
        <v>-24</v>
      </c>
    </row>
    <row r="19" spans="1:76" x14ac:dyDescent="0.25">
      <c r="A19" s="29" t="s">
        <v>30</v>
      </c>
      <c r="B19" s="30" t="s">
        <v>17</v>
      </c>
      <c r="C19" s="55" t="s">
        <v>16</v>
      </c>
      <c r="D19" s="55" t="s">
        <v>16</v>
      </c>
      <c r="E19" s="55" t="s">
        <v>16</v>
      </c>
      <c r="F19" s="31">
        <v>0</v>
      </c>
      <c r="G19" s="31">
        <v>0</v>
      </c>
      <c r="H19" s="31">
        <v>3</v>
      </c>
      <c r="I19" s="31">
        <v>0</v>
      </c>
      <c r="J19" s="31">
        <v>0</v>
      </c>
      <c r="K19" s="31">
        <v>0</v>
      </c>
      <c r="L19" s="31">
        <f>(7*F19)+(7*G19)+(12*H19)+(8*J19)+(12*K19)</f>
        <v>36</v>
      </c>
      <c r="M19" s="30" t="s">
        <v>17</v>
      </c>
      <c r="N19" s="30" t="s">
        <v>17</v>
      </c>
      <c r="O19" s="30" t="s">
        <v>17</v>
      </c>
      <c r="P19" s="30" t="s">
        <v>17</v>
      </c>
      <c r="Q19" s="55" t="s">
        <v>16</v>
      </c>
      <c r="R19" s="55" t="s">
        <v>16</v>
      </c>
      <c r="S19" s="55" t="s">
        <v>16</v>
      </c>
      <c r="T19" s="31">
        <v>0</v>
      </c>
      <c r="U19" s="31">
        <v>0</v>
      </c>
      <c r="V19" s="31">
        <v>3</v>
      </c>
      <c r="W19" s="31">
        <v>0</v>
      </c>
      <c r="X19" s="31">
        <v>0</v>
      </c>
      <c r="Y19" s="31">
        <v>0</v>
      </c>
      <c r="Z19" s="31">
        <f>(7*T19)+(7*U19)+(12*V19)+(8*X19)+(12*Y19)</f>
        <v>36</v>
      </c>
      <c r="AA19" s="30" t="s">
        <v>17</v>
      </c>
      <c r="AB19" s="30" t="s">
        <v>17</v>
      </c>
      <c r="AC19" s="30" t="s">
        <v>17</v>
      </c>
      <c r="AD19" s="30" t="s">
        <v>17</v>
      </c>
      <c r="AE19" s="55" t="s">
        <v>16</v>
      </c>
      <c r="AF19" s="55" t="s">
        <v>16</v>
      </c>
      <c r="AG19" s="55" t="s">
        <v>16</v>
      </c>
      <c r="AH19" s="31">
        <v>0</v>
      </c>
      <c r="AI19" s="31">
        <v>0</v>
      </c>
      <c r="AJ19" s="31">
        <v>3</v>
      </c>
      <c r="AK19" s="31">
        <v>0</v>
      </c>
      <c r="AL19" s="31">
        <v>0</v>
      </c>
      <c r="AM19" s="31">
        <v>0</v>
      </c>
      <c r="AN19" s="31">
        <f>(7*AH19)+(7*AI19)+(12*AJ19)+(8*AL19)+(12*AM19)</f>
        <v>36</v>
      </c>
      <c r="AO19" s="30" t="s">
        <v>17</v>
      </c>
      <c r="AP19" s="30" t="s">
        <v>17</v>
      </c>
      <c r="AQ19" s="30" t="s">
        <v>17</v>
      </c>
      <c r="AR19" s="30" t="s">
        <v>17</v>
      </c>
      <c r="AS19" s="55" t="s">
        <v>16</v>
      </c>
      <c r="AT19" s="55" t="s">
        <v>16</v>
      </c>
      <c r="AU19" s="55" t="s">
        <v>16</v>
      </c>
      <c r="AV19" s="31">
        <v>0</v>
      </c>
      <c r="AW19" s="31">
        <v>0</v>
      </c>
      <c r="AX19" s="31">
        <v>3</v>
      </c>
      <c r="AY19" s="31">
        <v>0</v>
      </c>
      <c r="AZ19" s="31">
        <v>0</v>
      </c>
      <c r="BA19" s="31">
        <v>0</v>
      </c>
      <c r="BB19" s="31">
        <f>(7*AV19)+(7*AW19)+(12*AX19)+(8*AZ19)+(12*BA19)</f>
        <v>36</v>
      </c>
      <c r="BC19" s="30" t="s">
        <v>17</v>
      </c>
      <c r="BD19" s="30" t="s">
        <v>17</v>
      </c>
      <c r="BE19" s="30" t="s">
        <v>17</v>
      </c>
      <c r="BF19" s="30" t="s">
        <v>17</v>
      </c>
      <c r="BG19" s="55" t="s">
        <v>16</v>
      </c>
      <c r="BH19" s="55" t="s">
        <v>16</v>
      </c>
      <c r="BI19" s="31">
        <v>0</v>
      </c>
      <c r="BJ19" s="31">
        <v>0</v>
      </c>
      <c r="BK19" s="31">
        <v>2</v>
      </c>
      <c r="BL19" s="31">
        <v>0</v>
      </c>
      <c r="BM19" s="31">
        <v>0</v>
      </c>
      <c r="BN19" s="31">
        <v>0</v>
      </c>
      <c r="BO19" s="31">
        <v>0</v>
      </c>
      <c r="BP19" s="32">
        <f t="shared" si="30"/>
        <v>0</v>
      </c>
      <c r="BQ19" s="33">
        <f t="shared" si="30"/>
        <v>0</v>
      </c>
      <c r="BR19" s="34">
        <f t="shared" si="27"/>
        <v>0</v>
      </c>
      <c r="BS19" s="33">
        <f t="shared" si="28"/>
        <v>14</v>
      </c>
      <c r="BT19" s="33">
        <f t="shared" si="31"/>
        <v>0</v>
      </c>
      <c r="BU19" s="33">
        <f t="shared" si="31"/>
        <v>0</v>
      </c>
      <c r="BV19" s="35">
        <f t="shared" si="6"/>
        <v>14</v>
      </c>
      <c r="BW19" s="36">
        <f t="shared" si="29"/>
        <v>144</v>
      </c>
      <c r="BX19" s="3">
        <f t="shared" si="32"/>
        <v>-36</v>
      </c>
    </row>
    <row r="20" spans="1:76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9"/>
      <c r="BQ20" s="39"/>
      <c r="BR20" s="39"/>
      <c r="BS20" s="39"/>
      <c r="BT20" s="39"/>
      <c r="BU20" s="39"/>
      <c r="BV20" s="36"/>
      <c r="BW20" s="41">
        <f>SUM(BW14:BW19)</f>
        <v>815</v>
      </c>
      <c r="BX20" s="49"/>
    </row>
    <row r="21" spans="1:76" ht="36.75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9"/>
      <c r="BQ21" s="39"/>
      <c r="BR21" s="39"/>
      <c r="BS21" s="39"/>
      <c r="BT21" s="39"/>
      <c r="BU21" s="39"/>
      <c r="BV21" s="40" t="s">
        <v>19</v>
      </c>
      <c r="BW21" s="41">
        <f>BW20+BW13</f>
        <v>2157</v>
      </c>
      <c r="BX21" s="4"/>
    </row>
    <row r="22" spans="1:76" x14ac:dyDescent="0.25">
      <c r="A22" s="92" t="s">
        <v>48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9"/>
      <c r="BQ22" s="39"/>
      <c r="BR22" s="39"/>
      <c r="BS22" s="39"/>
      <c r="BT22" s="39"/>
      <c r="BU22" s="39"/>
      <c r="BV22" s="38"/>
      <c r="BW22" s="38"/>
    </row>
    <row r="23" spans="1:76" x14ac:dyDescent="0.25">
      <c r="A23" s="92" t="s">
        <v>49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9"/>
      <c r="BQ23" s="39"/>
      <c r="BR23" s="39"/>
      <c r="BS23" s="39"/>
      <c r="BT23" s="39"/>
      <c r="BU23" s="39"/>
      <c r="BV23" s="38"/>
      <c r="BW23" s="38"/>
    </row>
    <row r="24" spans="1:76" x14ac:dyDescent="0.25">
      <c r="A24" s="92" t="s">
        <v>50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9"/>
      <c r="BQ24" s="39"/>
      <c r="BR24" s="39"/>
      <c r="BS24" s="39"/>
      <c r="BT24" s="39"/>
      <c r="BU24" s="39"/>
      <c r="BV24" s="38"/>
      <c r="BW24" s="38"/>
    </row>
    <row r="25" spans="1:76" x14ac:dyDescent="0.25">
      <c r="A25" s="92" t="s">
        <v>53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9"/>
      <c r="BQ25" s="39"/>
      <c r="BR25" s="39"/>
      <c r="BS25" s="39"/>
      <c r="BT25" s="39"/>
      <c r="BU25" s="39"/>
      <c r="BV25" s="38"/>
      <c r="BW25" s="38"/>
    </row>
    <row r="26" spans="1:76" x14ac:dyDescent="0.25">
      <c r="A26" s="92" t="s">
        <v>52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9"/>
      <c r="BQ26" s="39"/>
      <c r="BR26" s="39"/>
      <c r="BS26" s="39"/>
      <c r="BT26" s="39"/>
      <c r="BU26" s="39"/>
      <c r="BV26" s="38"/>
      <c r="BW26" s="38"/>
    </row>
    <row r="27" spans="1:76" x14ac:dyDescent="0.25">
      <c r="A27" s="93" t="s">
        <v>51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9"/>
      <c r="BQ27" s="39"/>
      <c r="BR27" s="39"/>
      <c r="BS27" s="39"/>
      <c r="BT27" s="39"/>
      <c r="BU27" s="39"/>
      <c r="BV27" s="38"/>
      <c r="BW27" s="38"/>
    </row>
    <row r="28" spans="1:76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9"/>
      <c r="BQ28" s="39"/>
      <c r="BR28" s="39"/>
      <c r="BS28" s="39"/>
      <c r="BT28" s="39"/>
      <c r="BU28" s="39"/>
      <c r="BV28" s="38"/>
      <c r="BW28" s="38"/>
    </row>
    <row r="29" spans="1:76" x14ac:dyDescent="0.25">
      <c r="BP29" s="2"/>
      <c r="BQ29" s="2"/>
      <c r="BR29" s="2"/>
      <c r="BS29" s="2"/>
      <c r="BT29" s="2"/>
      <c r="BU29" s="2"/>
    </row>
    <row r="30" spans="1:76" x14ac:dyDescent="0.25">
      <c r="BP30" s="2"/>
      <c r="BQ30" s="2"/>
      <c r="BR30" s="2"/>
      <c r="BS30" s="2"/>
      <c r="BT30" s="2"/>
      <c r="BU30" s="2"/>
    </row>
    <row r="31" spans="1:76" x14ac:dyDescent="0.25">
      <c r="BP31" s="2"/>
      <c r="BQ31" s="2"/>
      <c r="BR31" s="2"/>
      <c r="BS31" s="2"/>
      <c r="BT31" s="2"/>
      <c r="BU31" s="2"/>
    </row>
    <row r="32" spans="1:76" x14ac:dyDescent="0.25">
      <c r="BP32" s="2"/>
      <c r="BQ32" s="2"/>
      <c r="BR32" s="2"/>
      <c r="BS32" s="2"/>
      <c r="BT32" s="2"/>
      <c r="BU32" s="2"/>
    </row>
    <row r="33" spans="68:73" x14ac:dyDescent="0.25">
      <c r="BP33" s="2"/>
      <c r="BQ33" s="2"/>
      <c r="BR33" s="2"/>
      <c r="BS33" s="2"/>
      <c r="BT33" s="2"/>
      <c r="BU33" s="2"/>
    </row>
    <row r="34" spans="68:73" x14ac:dyDescent="0.25">
      <c r="BP34" s="2"/>
      <c r="BQ34" s="2"/>
      <c r="BR34" s="2"/>
      <c r="BS34" s="2"/>
      <c r="BT34" s="2"/>
      <c r="BU34" s="2"/>
    </row>
    <row r="35" spans="68:73" x14ac:dyDescent="0.25">
      <c r="BP35" s="2"/>
      <c r="BQ35" s="2"/>
      <c r="BR35" s="2"/>
      <c r="BS35" s="2"/>
      <c r="BT35" s="2"/>
      <c r="BU35" s="2"/>
    </row>
    <row r="36" spans="68:73" x14ac:dyDescent="0.25">
      <c r="BP36" s="2"/>
      <c r="BQ36" s="2"/>
      <c r="BR36" s="2"/>
      <c r="BS36" s="2"/>
      <c r="BT36" s="2"/>
      <c r="BU36" s="2"/>
    </row>
    <row r="37" spans="68:73" x14ac:dyDescent="0.25">
      <c r="BP37" s="2"/>
      <c r="BQ37" s="2"/>
      <c r="BR37" s="2"/>
      <c r="BS37" s="2"/>
      <c r="BT37" s="2"/>
      <c r="BU37" s="2"/>
    </row>
    <row r="38" spans="68:73" x14ac:dyDescent="0.25">
      <c r="BP38" s="2"/>
      <c r="BQ38" s="2"/>
      <c r="BR38" s="2"/>
      <c r="BS38" s="2"/>
      <c r="BT38" s="2"/>
      <c r="BU38" s="2"/>
    </row>
    <row r="39" spans="68:73" x14ac:dyDescent="0.25">
      <c r="BP39" s="2"/>
      <c r="BQ39" s="2"/>
      <c r="BR39" s="2"/>
      <c r="BS39" s="2"/>
      <c r="BT39" s="2"/>
      <c r="BU39" s="2"/>
    </row>
    <row r="40" spans="68:73" x14ac:dyDescent="0.25">
      <c r="BP40" s="2"/>
      <c r="BQ40" s="2"/>
      <c r="BR40" s="2"/>
      <c r="BS40" s="2"/>
      <c r="BT40" s="2"/>
      <c r="BU40" s="2"/>
    </row>
    <row r="41" spans="68:73" x14ac:dyDescent="0.25">
      <c r="BP41" s="2"/>
      <c r="BQ41" s="2"/>
      <c r="BR41" s="2"/>
      <c r="BS41" s="2"/>
      <c r="BT41" s="2"/>
      <c r="BU41" s="2"/>
    </row>
    <row r="42" spans="68:73" x14ac:dyDescent="0.25">
      <c r="BP42" s="2"/>
      <c r="BQ42" s="2"/>
      <c r="BR42" s="2"/>
      <c r="BS42" s="2"/>
      <c r="BT42" s="2"/>
      <c r="BU42" s="2"/>
    </row>
    <row r="43" spans="68:73" x14ac:dyDescent="0.25">
      <c r="BP43" s="2"/>
      <c r="BQ43" s="2"/>
      <c r="BR43" s="2"/>
      <c r="BS43" s="2"/>
      <c r="BT43" s="2"/>
      <c r="BU43" s="2"/>
    </row>
    <row r="44" spans="68:73" x14ac:dyDescent="0.25">
      <c r="BP44" s="2"/>
      <c r="BQ44" s="2"/>
      <c r="BR44" s="2"/>
      <c r="BS44" s="2"/>
      <c r="BT44" s="2"/>
      <c r="BU44" s="2"/>
    </row>
    <row r="45" spans="68:73" x14ac:dyDescent="0.25">
      <c r="BP45" s="2"/>
      <c r="BQ45" s="2"/>
      <c r="BR45" s="2"/>
      <c r="BS45" s="2"/>
      <c r="BT45" s="2"/>
      <c r="BU45" s="2"/>
    </row>
    <row r="46" spans="68:73" x14ac:dyDescent="0.25">
      <c r="BP46" s="2"/>
      <c r="BQ46" s="2"/>
      <c r="BR46" s="2"/>
      <c r="BS46" s="2"/>
      <c r="BT46" s="2"/>
      <c r="BU46" s="2"/>
    </row>
    <row r="47" spans="68:73" x14ac:dyDescent="0.25">
      <c r="BP47" s="2"/>
      <c r="BQ47" s="2"/>
      <c r="BR47" s="2"/>
      <c r="BS47" s="2"/>
      <c r="BT47" s="2"/>
      <c r="BU47" s="2"/>
    </row>
    <row r="48" spans="68:73" x14ac:dyDescent="0.25">
      <c r="BP48" s="2"/>
      <c r="BQ48" s="2"/>
      <c r="BR48" s="2"/>
      <c r="BS48" s="2"/>
      <c r="BT48" s="2"/>
      <c r="BU48" s="2"/>
    </row>
    <row r="49" spans="68:73" x14ac:dyDescent="0.25">
      <c r="BP49" s="2"/>
      <c r="BQ49" s="2"/>
      <c r="BR49" s="2"/>
      <c r="BS49" s="2"/>
      <c r="BT49" s="2"/>
      <c r="BU49" s="2"/>
    </row>
    <row r="50" spans="68:73" x14ac:dyDescent="0.25">
      <c r="BP50" s="2"/>
      <c r="BQ50" s="2"/>
      <c r="BR50" s="2"/>
      <c r="BS50" s="2"/>
      <c r="BT50" s="2"/>
      <c r="BU50" s="2"/>
    </row>
    <row r="51" spans="68:73" x14ac:dyDescent="0.25">
      <c r="BP51" s="2"/>
      <c r="BQ51" s="2"/>
      <c r="BR51" s="2"/>
      <c r="BS51" s="2"/>
      <c r="BT51" s="2"/>
      <c r="BU51" s="2"/>
    </row>
    <row r="52" spans="68:73" x14ac:dyDescent="0.25">
      <c r="BP52" s="2"/>
      <c r="BQ52" s="2"/>
      <c r="BR52" s="2"/>
      <c r="BS52" s="2"/>
      <c r="BT52" s="2"/>
      <c r="BU52" s="2"/>
    </row>
    <row r="53" spans="68:73" x14ac:dyDescent="0.25">
      <c r="BP53" s="2"/>
      <c r="BQ53" s="2"/>
      <c r="BR53" s="2"/>
      <c r="BS53" s="2"/>
      <c r="BT53" s="2"/>
      <c r="BU53" s="2"/>
    </row>
    <row r="54" spans="68:73" x14ac:dyDescent="0.25">
      <c r="BP54" s="2"/>
      <c r="BQ54" s="2"/>
      <c r="BR54" s="2"/>
      <c r="BS54" s="2"/>
      <c r="BT54" s="2"/>
      <c r="BU54" s="2"/>
    </row>
    <row r="55" spans="68:73" x14ac:dyDescent="0.25">
      <c r="BP55" s="2"/>
      <c r="BQ55" s="2"/>
      <c r="BR55" s="2"/>
      <c r="BS55" s="2"/>
      <c r="BT55" s="2"/>
      <c r="BU55" s="2"/>
    </row>
    <row r="56" spans="68:73" x14ac:dyDescent="0.25">
      <c r="BP56" s="2"/>
      <c r="BQ56" s="2"/>
      <c r="BR56" s="2"/>
      <c r="BS56" s="2"/>
      <c r="BT56" s="2"/>
      <c r="BU56" s="2"/>
    </row>
    <row r="57" spans="68:73" x14ac:dyDescent="0.25">
      <c r="BP57" s="2"/>
      <c r="BQ57" s="2"/>
      <c r="BR57" s="2"/>
      <c r="BS57" s="2"/>
      <c r="BT57" s="2"/>
      <c r="BU57" s="2"/>
    </row>
    <row r="58" spans="68:73" x14ac:dyDescent="0.25">
      <c r="BP58" s="2"/>
      <c r="BQ58" s="2"/>
      <c r="BR58" s="2"/>
      <c r="BS58" s="2"/>
      <c r="BT58" s="2"/>
      <c r="BU58" s="2"/>
    </row>
    <row r="59" spans="68:73" x14ac:dyDescent="0.25">
      <c r="BP59" s="2"/>
      <c r="BQ59" s="2"/>
      <c r="BR59" s="2"/>
      <c r="BS59" s="2"/>
      <c r="BT59" s="2"/>
      <c r="BU59" s="2"/>
    </row>
    <row r="60" spans="68:73" x14ac:dyDescent="0.25">
      <c r="BP60" s="2"/>
      <c r="BQ60" s="2"/>
      <c r="BR60" s="2"/>
      <c r="BS60" s="2"/>
      <c r="BT60" s="2"/>
      <c r="BU60" s="2"/>
    </row>
    <row r="61" spans="68:73" x14ac:dyDescent="0.25">
      <c r="BP61" s="2"/>
      <c r="BQ61" s="2"/>
      <c r="BR61" s="2"/>
      <c r="BS61" s="2"/>
      <c r="BT61" s="2"/>
      <c r="BU61" s="2"/>
    </row>
    <row r="62" spans="68:73" x14ac:dyDescent="0.25">
      <c r="BP62" s="2"/>
      <c r="BQ62" s="2"/>
      <c r="BR62" s="2"/>
      <c r="BS62" s="2"/>
      <c r="BT62" s="2"/>
      <c r="BU62" s="2"/>
    </row>
    <row r="63" spans="68:73" x14ac:dyDescent="0.25">
      <c r="BP63" s="2"/>
      <c r="BQ63" s="2"/>
      <c r="BR63" s="2"/>
      <c r="BS63" s="2"/>
      <c r="BT63" s="2"/>
      <c r="BU63" s="2"/>
    </row>
    <row r="64" spans="68:73" x14ac:dyDescent="0.25">
      <c r="BP64" s="2"/>
      <c r="BQ64" s="2"/>
      <c r="BR64" s="2"/>
      <c r="BS64" s="2"/>
      <c r="BT64" s="2"/>
      <c r="BU64" s="2"/>
    </row>
    <row r="65" spans="68:73" x14ac:dyDescent="0.25">
      <c r="BP65" s="2"/>
      <c r="BQ65" s="2"/>
      <c r="BR65" s="2"/>
      <c r="BS65" s="2"/>
      <c r="BT65" s="2"/>
      <c r="BU65" s="2"/>
    </row>
    <row r="66" spans="68:73" x14ac:dyDescent="0.25">
      <c r="BP66" s="2"/>
      <c r="BQ66" s="2"/>
      <c r="BR66" s="2"/>
      <c r="BS66" s="2"/>
      <c r="BT66" s="2"/>
      <c r="BU66" s="2"/>
    </row>
    <row r="67" spans="68:73" x14ac:dyDescent="0.25">
      <c r="BP67" s="2"/>
      <c r="BQ67" s="2"/>
      <c r="BR67" s="2"/>
      <c r="BS67" s="2"/>
      <c r="BT67" s="2"/>
      <c r="BU67" s="2"/>
    </row>
    <row r="68" spans="68:73" x14ac:dyDescent="0.25">
      <c r="BP68" s="2"/>
      <c r="BQ68" s="2"/>
      <c r="BR68" s="2"/>
      <c r="BS68" s="2"/>
      <c r="BT68" s="2"/>
      <c r="BU68" s="2"/>
    </row>
    <row r="69" spans="68:73" x14ac:dyDescent="0.25">
      <c r="BP69" s="2"/>
      <c r="BQ69" s="2"/>
      <c r="BR69" s="2"/>
      <c r="BS69" s="2"/>
      <c r="BT69" s="2"/>
      <c r="BU69" s="2"/>
    </row>
    <row r="70" spans="68:73" x14ac:dyDescent="0.25">
      <c r="BP70" s="2"/>
      <c r="BQ70" s="2"/>
      <c r="BR70" s="2"/>
      <c r="BS70" s="2"/>
      <c r="BT70" s="2"/>
      <c r="BU70" s="2"/>
    </row>
    <row r="71" spans="68:73" x14ac:dyDescent="0.25">
      <c r="BP71" s="2"/>
      <c r="BQ71" s="2"/>
      <c r="BR71" s="2"/>
      <c r="BS71" s="2"/>
      <c r="BT71" s="2"/>
      <c r="BU71" s="2"/>
    </row>
    <row r="72" spans="68:73" x14ac:dyDescent="0.25">
      <c r="BP72" s="2"/>
      <c r="BQ72" s="2"/>
      <c r="BR72" s="2"/>
      <c r="BS72" s="2"/>
      <c r="BT72" s="2"/>
      <c r="BU72" s="2"/>
    </row>
    <row r="73" spans="68:73" x14ac:dyDescent="0.25">
      <c r="BP73" s="2"/>
      <c r="BQ73" s="2"/>
      <c r="BR73" s="2"/>
      <c r="BS73" s="2"/>
      <c r="BT73" s="2"/>
      <c r="BU73" s="2"/>
    </row>
    <row r="74" spans="68:73" x14ac:dyDescent="0.25">
      <c r="BP74" s="2"/>
      <c r="BQ74" s="2"/>
      <c r="BR74" s="2"/>
      <c r="BS74" s="2"/>
      <c r="BT74" s="2"/>
      <c r="BU74" s="2"/>
    </row>
    <row r="75" spans="68:73" x14ac:dyDescent="0.25">
      <c r="BP75" s="2"/>
      <c r="BQ75" s="2"/>
      <c r="BR75" s="2"/>
      <c r="BS75" s="2"/>
      <c r="BT75" s="2"/>
      <c r="BU75" s="2"/>
    </row>
    <row r="76" spans="68:73" x14ac:dyDescent="0.25">
      <c r="BP76" s="2"/>
      <c r="BQ76" s="2"/>
      <c r="BR76" s="2"/>
      <c r="BS76" s="2"/>
      <c r="BT76" s="2"/>
      <c r="BU76" s="2"/>
    </row>
    <row r="77" spans="68:73" x14ac:dyDescent="0.25">
      <c r="BP77" s="2"/>
      <c r="BQ77" s="2"/>
      <c r="BR77" s="2"/>
      <c r="BS77" s="2"/>
      <c r="BT77" s="2"/>
      <c r="BU77" s="2"/>
    </row>
    <row r="78" spans="68:73" x14ac:dyDescent="0.25">
      <c r="BP78" s="2"/>
      <c r="BQ78" s="2"/>
      <c r="BR78" s="2"/>
      <c r="BS78" s="2"/>
      <c r="BT78" s="2"/>
      <c r="BU78" s="2"/>
    </row>
    <row r="79" spans="68:73" x14ac:dyDescent="0.25">
      <c r="BP79" s="2"/>
      <c r="BQ79" s="2"/>
      <c r="BR79" s="2"/>
      <c r="BS79" s="2"/>
      <c r="BT79" s="2"/>
      <c r="BU79" s="2"/>
    </row>
    <row r="80" spans="68:73" x14ac:dyDescent="0.25">
      <c r="BP80" s="2"/>
      <c r="BQ80" s="2"/>
      <c r="BR80" s="2"/>
      <c r="BS80" s="2"/>
      <c r="BT80" s="2"/>
      <c r="BU80" s="2"/>
    </row>
    <row r="81" spans="68:73" x14ac:dyDescent="0.25">
      <c r="BP81" s="2"/>
      <c r="BQ81" s="2"/>
      <c r="BR81" s="2"/>
      <c r="BS81" s="2"/>
      <c r="BT81" s="2"/>
      <c r="BU81" s="2"/>
    </row>
    <row r="82" spans="68:73" x14ac:dyDescent="0.25">
      <c r="BP82" s="2"/>
      <c r="BQ82" s="2"/>
      <c r="BR82" s="2"/>
      <c r="BS82" s="2"/>
      <c r="BT82" s="2"/>
      <c r="BU82" s="2"/>
    </row>
    <row r="83" spans="68:73" x14ac:dyDescent="0.25">
      <c r="BP83" s="2"/>
      <c r="BQ83" s="2"/>
      <c r="BR83" s="2"/>
      <c r="BS83" s="2"/>
      <c r="BT83" s="2"/>
      <c r="BU83" s="2"/>
    </row>
    <row r="84" spans="68:73" x14ac:dyDescent="0.25">
      <c r="BP84" s="2"/>
      <c r="BQ84" s="2"/>
      <c r="BR84" s="2"/>
      <c r="BS84" s="2"/>
      <c r="BT84" s="2"/>
      <c r="BU84" s="2"/>
    </row>
    <row r="85" spans="68:73" x14ac:dyDescent="0.25">
      <c r="BP85" s="2"/>
      <c r="BQ85" s="2"/>
      <c r="BR85" s="2"/>
      <c r="BS85" s="2"/>
      <c r="BT85" s="2"/>
      <c r="BU85" s="2"/>
    </row>
    <row r="86" spans="68:73" x14ac:dyDescent="0.25">
      <c r="BP86" s="2"/>
      <c r="BQ86" s="2"/>
      <c r="BR86" s="2"/>
      <c r="BS86" s="2"/>
      <c r="BT86" s="2"/>
      <c r="BU86" s="2"/>
    </row>
    <row r="87" spans="68:73" x14ac:dyDescent="0.25">
      <c r="BP87" s="2"/>
      <c r="BQ87" s="2"/>
      <c r="BR87" s="2"/>
      <c r="BS87" s="2"/>
      <c r="BT87" s="2"/>
      <c r="BU87" s="2"/>
    </row>
    <row r="88" spans="68:73" x14ac:dyDescent="0.25">
      <c r="BP88" s="2"/>
      <c r="BQ88" s="2"/>
      <c r="BR88" s="2"/>
      <c r="BS88" s="2"/>
      <c r="BT88" s="2"/>
      <c r="BU88" s="2"/>
    </row>
    <row r="89" spans="68:73" x14ac:dyDescent="0.25">
      <c r="BP89" s="2"/>
      <c r="BQ89" s="2"/>
      <c r="BR89" s="2"/>
      <c r="BS89" s="2"/>
      <c r="BT89" s="2"/>
      <c r="BU89" s="2"/>
    </row>
    <row r="90" spans="68:73" x14ac:dyDescent="0.25">
      <c r="BP90" s="2"/>
      <c r="BQ90" s="2"/>
      <c r="BR90" s="2"/>
      <c r="BS90" s="2"/>
      <c r="BT90" s="2"/>
      <c r="BU90" s="2"/>
    </row>
    <row r="91" spans="68:73" x14ac:dyDescent="0.25">
      <c r="BP91" s="2"/>
      <c r="BQ91" s="2"/>
      <c r="BR91" s="2"/>
      <c r="BS91" s="2"/>
      <c r="BT91" s="2"/>
      <c r="BU91" s="2"/>
    </row>
    <row r="92" spans="68:73" x14ac:dyDescent="0.25">
      <c r="BP92" s="2"/>
      <c r="BQ92" s="2"/>
      <c r="BR92" s="2"/>
      <c r="BS92" s="2"/>
      <c r="BT92" s="2"/>
      <c r="BU92" s="2"/>
    </row>
    <row r="93" spans="68:73" x14ac:dyDescent="0.25">
      <c r="BP93" s="2"/>
      <c r="BQ93" s="2"/>
      <c r="BR93" s="2"/>
      <c r="BS93" s="2"/>
      <c r="BT93" s="2"/>
      <c r="BU93" s="2"/>
    </row>
    <row r="94" spans="68:73" x14ac:dyDescent="0.25">
      <c r="BP94" s="2"/>
      <c r="BQ94" s="2"/>
      <c r="BR94" s="2"/>
      <c r="BS94" s="2"/>
      <c r="BT94" s="2"/>
      <c r="BU94" s="2"/>
    </row>
    <row r="95" spans="68:73" x14ac:dyDescent="0.25">
      <c r="BP95" s="2"/>
      <c r="BQ95" s="2"/>
      <c r="BR95" s="2"/>
      <c r="BS95" s="2"/>
      <c r="BT95" s="2"/>
      <c r="BU95" s="2"/>
    </row>
    <row r="96" spans="68:73" x14ac:dyDescent="0.25">
      <c r="BP96" s="2"/>
      <c r="BQ96" s="2"/>
      <c r="BR96" s="2"/>
      <c r="BS96" s="2"/>
      <c r="BT96" s="2"/>
      <c r="BU96" s="2"/>
    </row>
    <row r="97" spans="68:73" x14ac:dyDescent="0.25">
      <c r="BP97" s="2"/>
      <c r="BQ97" s="2"/>
      <c r="BR97" s="2"/>
      <c r="BS97" s="2"/>
      <c r="BT97" s="2"/>
      <c r="BU97" s="2"/>
    </row>
    <row r="98" spans="68:73" x14ac:dyDescent="0.25">
      <c r="BP98" s="2"/>
      <c r="BQ98" s="2"/>
      <c r="BR98" s="2"/>
      <c r="BS98" s="2"/>
      <c r="BT98" s="2"/>
      <c r="BU98" s="2"/>
    </row>
    <row r="99" spans="68:73" x14ac:dyDescent="0.25">
      <c r="BP99" s="2"/>
      <c r="BQ99" s="2"/>
      <c r="BR99" s="2"/>
      <c r="BS99" s="2"/>
      <c r="BT99" s="2"/>
      <c r="BU99" s="2"/>
    </row>
    <row r="100" spans="68:73" x14ac:dyDescent="0.25">
      <c r="BP100" s="2"/>
      <c r="BQ100" s="2"/>
      <c r="BR100" s="2"/>
      <c r="BS100" s="2"/>
      <c r="BT100" s="2"/>
      <c r="BU100" s="2"/>
    </row>
    <row r="101" spans="68:73" x14ac:dyDescent="0.25">
      <c r="BP101" s="2"/>
      <c r="BQ101" s="2"/>
      <c r="BR101" s="2"/>
      <c r="BS101" s="2"/>
      <c r="BT101" s="2"/>
      <c r="BU101" s="2"/>
    </row>
    <row r="102" spans="68:73" x14ac:dyDescent="0.25">
      <c r="BP102" s="2"/>
      <c r="BQ102" s="2"/>
      <c r="BR102" s="2"/>
      <c r="BS102" s="2"/>
      <c r="BT102" s="2"/>
      <c r="BU102" s="2"/>
    </row>
    <row r="103" spans="68:73" x14ac:dyDescent="0.25">
      <c r="BP103" s="2"/>
      <c r="BQ103" s="2"/>
      <c r="BR103" s="2"/>
      <c r="BS103" s="2"/>
      <c r="BT103" s="2"/>
      <c r="BU103" s="2"/>
    </row>
    <row r="104" spans="68:73" x14ac:dyDescent="0.25">
      <c r="BP104" s="2"/>
      <c r="BQ104" s="2"/>
      <c r="BR104" s="2"/>
      <c r="BS104" s="2"/>
      <c r="BT104" s="2"/>
      <c r="BU104" s="2"/>
    </row>
    <row r="105" spans="68:73" x14ac:dyDescent="0.25">
      <c r="BP105" s="2"/>
      <c r="BQ105" s="2"/>
      <c r="BR105" s="2"/>
      <c r="BS105" s="2"/>
      <c r="BT105" s="2"/>
      <c r="BU105" s="2"/>
    </row>
    <row r="106" spans="68:73" x14ac:dyDescent="0.25">
      <c r="BP106" s="2"/>
      <c r="BQ106" s="2"/>
      <c r="BR106" s="2"/>
      <c r="BS106" s="2"/>
      <c r="BT106" s="2"/>
      <c r="BU106" s="2"/>
    </row>
    <row r="107" spans="68:73" x14ac:dyDescent="0.25">
      <c r="BP107" s="2"/>
      <c r="BQ107" s="2"/>
      <c r="BR107" s="2"/>
      <c r="BS107" s="2"/>
      <c r="BT107" s="2"/>
      <c r="BU107" s="2"/>
    </row>
    <row r="108" spans="68:73" x14ac:dyDescent="0.25">
      <c r="BP108" s="2"/>
      <c r="BQ108" s="2"/>
      <c r="BR108" s="2"/>
      <c r="BS108" s="2"/>
      <c r="BT108" s="2"/>
      <c r="BU108" s="2"/>
    </row>
    <row r="109" spans="68:73" x14ac:dyDescent="0.25">
      <c r="BP109" s="2"/>
      <c r="BQ109" s="2"/>
      <c r="BR109" s="2"/>
      <c r="BS109" s="2"/>
      <c r="BT109" s="2"/>
      <c r="BU109" s="2"/>
    </row>
    <row r="110" spans="68:73" x14ac:dyDescent="0.25">
      <c r="BP110" s="2"/>
      <c r="BQ110" s="2"/>
      <c r="BR110" s="2"/>
      <c r="BS110" s="2"/>
      <c r="BT110" s="2"/>
      <c r="BU110" s="2"/>
    </row>
    <row r="111" spans="68:73" x14ac:dyDescent="0.25">
      <c r="BP111" s="2"/>
      <c r="BQ111" s="2"/>
      <c r="BR111" s="2"/>
      <c r="BS111" s="2"/>
      <c r="BT111" s="2"/>
      <c r="BU111" s="2"/>
    </row>
    <row r="112" spans="68:73" x14ac:dyDescent="0.25">
      <c r="BP112" s="2"/>
      <c r="BQ112" s="2"/>
      <c r="BR112" s="2"/>
      <c r="BS112" s="2"/>
      <c r="BT112" s="2"/>
      <c r="BU112" s="2"/>
    </row>
    <row r="113" spans="68:73" x14ac:dyDescent="0.25">
      <c r="BP113" s="2"/>
      <c r="BQ113" s="2"/>
      <c r="BR113" s="2"/>
      <c r="BS113" s="2"/>
      <c r="BT113" s="2"/>
      <c r="BU113" s="2"/>
    </row>
    <row r="114" spans="68:73" x14ac:dyDescent="0.25">
      <c r="BP114" s="2"/>
      <c r="BQ114" s="2"/>
      <c r="BR114" s="2"/>
      <c r="BS114" s="2"/>
      <c r="BT114" s="2"/>
      <c r="BU114" s="2"/>
    </row>
    <row r="115" spans="68:73" x14ac:dyDescent="0.25">
      <c r="BP115" s="2"/>
      <c r="BQ115" s="2"/>
      <c r="BR115" s="2"/>
      <c r="BS115" s="2"/>
      <c r="BT115" s="2"/>
      <c r="BU115" s="2"/>
    </row>
    <row r="116" spans="68:73" x14ac:dyDescent="0.25">
      <c r="BP116" s="2"/>
      <c r="BQ116" s="2"/>
      <c r="BR116" s="2"/>
      <c r="BS116" s="2"/>
      <c r="BT116" s="2"/>
      <c r="BU116" s="2"/>
    </row>
    <row r="117" spans="68:73" x14ac:dyDescent="0.25">
      <c r="BP117" s="2"/>
      <c r="BQ117" s="2"/>
      <c r="BR117" s="2"/>
      <c r="BS117" s="2"/>
      <c r="BT117" s="2"/>
      <c r="BU117" s="2"/>
    </row>
    <row r="118" spans="68:73" x14ac:dyDescent="0.25">
      <c r="BP118" s="2"/>
      <c r="BQ118" s="2"/>
      <c r="BR118" s="2"/>
      <c r="BS118" s="2"/>
      <c r="BT118" s="2"/>
      <c r="BU118" s="2"/>
    </row>
    <row r="119" spans="68:73" x14ac:dyDescent="0.25">
      <c r="BP119" s="2"/>
      <c r="BQ119" s="2"/>
      <c r="BR119" s="2"/>
      <c r="BS119" s="2"/>
      <c r="BT119" s="2"/>
      <c r="BU119" s="2"/>
    </row>
    <row r="120" spans="68:73" x14ac:dyDescent="0.25">
      <c r="BP120" s="2"/>
      <c r="BQ120" s="2"/>
      <c r="BR120" s="2"/>
      <c r="BS120" s="2"/>
      <c r="BT120" s="2"/>
      <c r="BU120" s="2"/>
    </row>
    <row r="121" spans="68:73" x14ac:dyDescent="0.25">
      <c r="BP121" s="2"/>
      <c r="BQ121" s="2"/>
      <c r="BR121" s="2"/>
      <c r="BS121" s="2"/>
      <c r="BT121" s="2"/>
      <c r="BU121" s="2"/>
    </row>
    <row r="122" spans="68:73" x14ac:dyDescent="0.25">
      <c r="BP122" s="2"/>
      <c r="BQ122" s="2"/>
      <c r="BR122" s="2"/>
      <c r="BS122" s="2"/>
      <c r="BT122" s="2"/>
      <c r="BU122" s="2"/>
    </row>
    <row r="123" spans="68:73" x14ac:dyDescent="0.25">
      <c r="BP123" s="2"/>
      <c r="BQ123" s="2"/>
      <c r="BR123" s="2"/>
      <c r="BS123" s="2"/>
      <c r="BT123" s="2"/>
      <c r="BU123" s="2"/>
    </row>
    <row r="124" spans="68:73" x14ac:dyDescent="0.25">
      <c r="BP124" s="2"/>
      <c r="BQ124" s="2"/>
      <c r="BR124" s="2"/>
      <c r="BS124" s="2"/>
      <c r="BT124" s="2"/>
      <c r="BU124" s="2"/>
    </row>
    <row r="125" spans="68:73" x14ac:dyDescent="0.25">
      <c r="BP125" s="2"/>
      <c r="BQ125" s="2"/>
      <c r="BR125" s="2"/>
      <c r="BS125" s="2"/>
      <c r="BT125" s="2"/>
      <c r="BU125" s="2"/>
    </row>
    <row r="126" spans="68:73" x14ac:dyDescent="0.25">
      <c r="BP126" s="2"/>
      <c r="BQ126" s="2"/>
      <c r="BR126" s="2"/>
      <c r="BS126" s="2"/>
      <c r="BT126" s="2"/>
      <c r="BU126" s="2"/>
    </row>
    <row r="127" spans="68:73" x14ac:dyDescent="0.25">
      <c r="BP127" s="2"/>
      <c r="BQ127" s="2"/>
      <c r="BR127" s="2"/>
      <c r="BS127" s="2"/>
      <c r="BT127" s="2"/>
      <c r="BU127" s="2"/>
    </row>
    <row r="128" spans="68:73" x14ac:dyDescent="0.25">
      <c r="BP128" s="2"/>
      <c r="BQ128" s="2"/>
      <c r="BR128" s="2"/>
      <c r="BS128" s="2"/>
      <c r="BT128" s="2"/>
      <c r="BU128" s="2"/>
    </row>
    <row r="129" spans="68:73" x14ac:dyDescent="0.25">
      <c r="BP129" s="2"/>
      <c r="BQ129" s="2"/>
      <c r="BR129" s="2"/>
      <c r="BS129" s="2"/>
      <c r="BT129" s="2"/>
      <c r="BU129" s="2"/>
    </row>
    <row r="130" spans="68:73" x14ac:dyDescent="0.25">
      <c r="BP130" s="2"/>
      <c r="BQ130" s="2"/>
      <c r="BR130" s="2"/>
      <c r="BS130" s="2"/>
      <c r="BT130" s="2"/>
      <c r="BU130" s="2"/>
    </row>
    <row r="131" spans="68:73" x14ac:dyDescent="0.25">
      <c r="BP131" s="2"/>
      <c r="BQ131" s="2"/>
      <c r="BR131" s="2"/>
      <c r="BS131" s="2"/>
      <c r="BT131" s="2"/>
      <c r="BU131" s="2"/>
    </row>
    <row r="132" spans="68:73" x14ac:dyDescent="0.25">
      <c r="BP132" s="2"/>
      <c r="BQ132" s="2"/>
      <c r="BR132" s="2"/>
      <c r="BS132" s="2"/>
      <c r="BT132" s="2"/>
      <c r="BU132" s="2"/>
    </row>
    <row r="133" spans="68:73" x14ac:dyDescent="0.25">
      <c r="BP133" s="2"/>
      <c r="BQ133" s="2"/>
      <c r="BR133" s="2"/>
      <c r="BS133" s="2"/>
      <c r="BT133" s="2"/>
      <c r="BU133" s="2"/>
    </row>
    <row r="134" spans="68:73" x14ac:dyDescent="0.25">
      <c r="BP134" s="2"/>
      <c r="BQ134" s="2"/>
      <c r="BR134" s="2"/>
      <c r="BS134" s="2"/>
      <c r="BT134" s="2"/>
      <c r="BU134" s="2"/>
    </row>
    <row r="135" spans="68:73" x14ac:dyDescent="0.25">
      <c r="BP135" s="2"/>
      <c r="BQ135" s="2"/>
      <c r="BR135" s="2"/>
      <c r="BS135" s="2"/>
      <c r="BT135" s="2"/>
      <c r="BU135" s="2"/>
    </row>
    <row r="136" spans="68:73" x14ac:dyDescent="0.25">
      <c r="BP136" s="2"/>
      <c r="BQ136" s="2"/>
      <c r="BR136" s="2"/>
      <c r="BS136" s="2"/>
      <c r="BT136" s="2"/>
      <c r="BU136" s="2"/>
    </row>
    <row r="137" spans="68:73" x14ac:dyDescent="0.25">
      <c r="BP137" s="2"/>
      <c r="BQ137" s="2"/>
      <c r="BR137" s="2"/>
      <c r="BS137" s="2"/>
      <c r="BT137" s="2"/>
      <c r="BU137" s="2"/>
    </row>
    <row r="138" spans="68:73" x14ac:dyDescent="0.25">
      <c r="BP138" s="2"/>
      <c r="BQ138" s="2"/>
      <c r="BR138" s="2"/>
      <c r="BS138" s="2"/>
      <c r="BT138" s="2"/>
      <c r="BU138" s="2"/>
    </row>
    <row r="139" spans="68:73" x14ac:dyDescent="0.25">
      <c r="BP139" s="2"/>
      <c r="BQ139" s="2"/>
      <c r="BR139" s="2"/>
      <c r="BS139" s="2"/>
      <c r="BT139" s="2"/>
      <c r="BU139" s="2"/>
    </row>
    <row r="140" spans="68:73" x14ac:dyDescent="0.25">
      <c r="BP140" s="2"/>
      <c r="BQ140" s="2"/>
      <c r="BR140" s="2"/>
      <c r="BS140" s="2"/>
      <c r="BT140" s="2"/>
      <c r="BU140" s="2"/>
    </row>
    <row r="141" spans="68:73" x14ac:dyDescent="0.25">
      <c r="BP141" s="2"/>
      <c r="BQ141" s="2"/>
      <c r="BR141" s="2"/>
      <c r="BS141" s="2"/>
      <c r="BT141" s="2"/>
      <c r="BU141" s="2"/>
    </row>
    <row r="142" spans="68:73" x14ac:dyDescent="0.25">
      <c r="BP142" s="2"/>
      <c r="BQ142" s="2"/>
      <c r="BR142" s="2"/>
      <c r="BS142" s="2"/>
      <c r="BT142" s="2"/>
      <c r="BU142" s="2"/>
    </row>
    <row r="143" spans="68:73" x14ac:dyDescent="0.25">
      <c r="BP143" s="2"/>
      <c r="BQ143" s="2"/>
      <c r="BR143" s="2"/>
      <c r="BS143" s="2"/>
      <c r="BT143" s="2"/>
      <c r="BU143" s="2"/>
    </row>
    <row r="144" spans="68:73" x14ac:dyDescent="0.25">
      <c r="BP144" s="2"/>
      <c r="BQ144" s="2"/>
      <c r="BR144" s="2"/>
      <c r="BS144" s="2"/>
      <c r="BT144" s="2"/>
      <c r="BU144" s="2"/>
    </row>
    <row r="145" spans="68:73" x14ac:dyDescent="0.25">
      <c r="BP145" s="2"/>
      <c r="BQ145" s="2"/>
      <c r="BR145" s="2"/>
      <c r="BS145" s="2"/>
      <c r="BT145" s="2"/>
      <c r="BU145" s="2"/>
    </row>
    <row r="146" spans="68:73" x14ac:dyDescent="0.25">
      <c r="BP146" s="2"/>
      <c r="BQ146" s="2"/>
      <c r="BR146" s="2"/>
      <c r="BS146" s="2"/>
      <c r="BT146" s="2"/>
      <c r="BU146" s="2"/>
    </row>
    <row r="147" spans="68:73" x14ac:dyDescent="0.25">
      <c r="BP147" s="2"/>
      <c r="BQ147" s="2"/>
      <c r="BR147" s="2"/>
      <c r="BS147" s="2"/>
      <c r="BT147" s="2"/>
      <c r="BU147" s="2"/>
    </row>
    <row r="148" spans="68:73" x14ac:dyDescent="0.25">
      <c r="BP148" s="2"/>
      <c r="BQ148" s="2"/>
      <c r="BR148" s="2"/>
      <c r="BS148" s="2"/>
      <c r="BT148" s="2"/>
      <c r="BU148" s="2"/>
    </row>
    <row r="149" spans="68:73" x14ac:dyDescent="0.25">
      <c r="BP149" s="2"/>
      <c r="BQ149" s="2"/>
      <c r="BR149" s="2"/>
      <c r="BS149" s="2"/>
      <c r="BT149" s="2"/>
      <c r="BU149" s="2"/>
    </row>
    <row r="150" spans="68:73" x14ac:dyDescent="0.25">
      <c r="BP150" s="2"/>
      <c r="BQ150" s="2"/>
      <c r="BR150" s="2"/>
      <c r="BS150" s="2"/>
      <c r="BT150" s="2"/>
      <c r="BU150" s="2"/>
    </row>
    <row r="151" spans="68:73" x14ac:dyDescent="0.25">
      <c r="BP151" s="2"/>
      <c r="BQ151" s="2"/>
      <c r="BR151" s="2"/>
      <c r="BS151" s="2"/>
      <c r="BT151" s="2"/>
      <c r="BU151" s="2"/>
    </row>
    <row r="152" spans="68:73" x14ac:dyDescent="0.25">
      <c r="BP152" s="2"/>
      <c r="BQ152" s="2"/>
      <c r="BR152" s="2"/>
      <c r="BS152" s="2"/>
      <c r="BT152" s="2"/>
      <c r="BU152" s="2"/>
    </row>
    <row r="153" spans="68:73" x14ac:dyDescent="0.25">
      <c r="BP153" s="2"/>
      <c r="BQ153" s="2"/>
      <c r="BR153" s="2"/>
      <c r="BS153" s="2"/>
      <c r="BT153" s="2"/>
      <c r="BU153" s="2"/>
    </row>
    <row r="154" spans="68:73" x14ac:dyDescent="0.25">
      <c r="BP154" s="2"/>
      <c r="BQ154" s="2"/>
      <c r="BR154" s="2"/>
      <c r="BS154" s="2"/>
      <c r="BT154" s="2"/>
      <c r="BU154" s="2"/>
    </row>
    <row r="155" spans="68:73" x14ac:dyDescent="0.25">
      <c r="BP155" s="2"/>
      <c r="BQ155" s="2"/>
      <c r="BR155" s="2"/>
      <c r="BS155" s="2"/>
      <c r="BT155" s="2"/>
      <c r="BU155" s="2"/>
    </row>
    <row r="156" spans="68:73" x14ac:dyDescent="0.25">
      <c r="BP156" s="2"/>
      <c r="BQ156" s="2"/>
      <c r="BR156" s="2"/>
      <c r="BS156" s="2"/>
      <c r="BT156" s="2"/>
      <c r="BU156" s="2"/>
    </row>
    <row r="157" spans="68:73" x14ac:dyDescent="0.25">
      <c r="BP157" s="2"/>
      <c r="BQ157" s="2"/>
      <c r="BR157" s="2"/>
      <c r="BS157" s="2"/>
      <c r="BT157" s="2"/>
      <c r="BU157" s="2"/>
    </row>
    <row r="158" spans="68:73" x14ac:dyDescent="0.25">
      <c r="BP158" s="2"/>
      <c r="BQ158" s="2"/>
      <c r="BR158" s="2"/>
      <c r="BS158" s="2"/>
      <c r="BT158" s="2"/>
      <c r="BU158" s="2"/>
    </row>
    <row r="159" spans="68:73" x14ac:dyDescent="0.25">
      <c r="BP159" s="2"/>
      <c r="BQ159" s="2"/>
      <c r="BR159" s="2"/>
      <c r="BS159" s="2"/>
      <c r="BT159" s="2"/>
      <c r="BU159" s="2"/>
    </row>
    <row r="160" spans="68:73" x14ac:dyDescent="0.25">
      <c r="BP160" s="2"/>
      <c r="BQ160" s="2"/>
      <c r="BR160" s="2"/>
      <c r="BS160" s="2"/>
      <c r="BT160" s="2"/>
      <c r="BU160" s="2"/>
    </row>
    <row r="161" spans="68:73" x14ac:dyDescent="0.25">
      <c r="BP161" s="2"/>
      <c r="BQ161" s="2"/>
      <c r="BR161" s="2"/>
      <c r="BS161" s="2"/>
      <c r="BT161" s="2"/>
      <c r="BU161" s="2"/>
    </row>
    <row r="162" spans="68:73" x14ac:dyDescent="0.25">
      <c r="BP162" s="2"/>
      <c r="BQ162" s="2"/>
      <c r="BR162" s="2"/>
      <c r="BS162" s="2"/>
      <c r="BT162" s="2"/>
      <c r="BU162" s="2"/>
    </row>
    <row r="163" spans="68:73" x14ac:dyDescent="0.25">
      <c r="BP163" s="2"/>
      <c r="BQ163" s="2"/>
      <c r="BR163" s="2"/>
      <c r="BS163" s="2"/>
      <c r="BT163" s="2"/>
      <c r="BU163" s="2"/>
    </row>
    <row r="164" spans="68:73" x14ac:dyDescent="0.25">
      <c r="BP164" s="2"/>
      <c r="BQ164" s="2"/>
      <c r="BR164" s="2"/>
      <c r="BS164" s="2"/>
      <c r="BT164" s="2"/>
      <c r="BU164" s="2"/>
    </row>
    <row r="165" spans="68:73" x14ac:dyDescent="0.25">
      <c r="BP165" s="2"/>
      <c r="BQ165" s="2"/>
      <c r="BR165" s="2"/>
      <c r="BS165" s="2"/>
      <c r="BT165" s="2"/>
      <c r="BU165" s="2"/>
    </row>
    <row r="166" spans="68:73" x14ac:dyDescent="0.25">
      <c r="BP166" s="2"/>
      <c r="BQ166" s="2"/>
      <c r="BR166" s="2"/>
      <c r="BS166" s="2"/>
      <c r="BT166" s="2"/>
      <c r="BU166" s="2"/>
    </row>
    <row r="167" spans="68:73" x14ac:dyDescent="0.25">
      <c r="BP167" s="2"/>
      <c r="BQ167" s="2"/>
      <c r="BR167" s="2"/>
      <c r="BS167" s="2"/>
      <c r="BT167" s="2"/>
      <c r="BU167" s="2"/>
    </row>
    <row r="168" spans="68:73" x14ac:dyDescent="0.25">
      <c r="BP168" s="2"/>
      <c r="BQ168" s="2"/>
      <c r="BR168" s="2"/>
      <c r="BS168" s="2"/>
      <c r="BT168" s="2"/>
      <c r="BU168" s="2"/>
    </row>
    <row r="169" spans="68:73" x14ac:dyDescent="0.25">
      <c r="BP169" s="2"/>
      <c r="BQ169" s="2"/>
      <c r="BR169" s="2"/>
      <c r="BS169" s="2"/>
      <c r="BT169" s="2"/>
      <c r="BU169" s="2"/>
    </row>
    <row r="170" spans="68:73" x14ac:dyDescent="0.25">
      <c r="BP170" s="2"/>
      <c r="BQ170" s="2"/>
      <c r="BR170" s="2"/>
      <c r="BS170" s="2"/>
      <c r="BT170" s="2"/>
      <c r="BU170" s="2"/>
    </row>
    <row r="171" spans="68:73" x14ac:dyDescent="0.25">
      <c r="BP171" s="2"/>
      <c r="BQ171" s="2"/>
      <c r="BR171" s="2"/>
      <c r="BS171" s="2"/>
      <c r="BT171" s="2"/>
      <c r="BU171" s="2"/>
    </row>
    <row r="172" spans="68:73" x14ac:dyDescent="0.25">
      <c r="BP172" s="2"/>
      <c r="BQ172" s="2"/>
      <c r="BR172" s="2"/>
      <c r="BS172" s="2"/>
      <c r="BT172" s="2"/>
      <c r="BU172" s="2"/>
    </row>
    <row r="173" spans="68:73" x14ac:dyDescent="0.25">
      <c r="BP173" s="2"/>
      <c r="BQ173" s="2"/>
      <c r="BR173" s="2"/>
      <c r="BS173" s="2"/>
      <c r="BT173" s="2"/>
      <c r="BU173" s="2"/>
    </row>
    <row r="174" spans="68:73" x14ac:dyDescent="0.25">
      <c r="BP174" s="2"/>
      <c r="BQ174" s="2"/>
      <c r="BR174" s="2"/>
      <c r="BS174" s="2"/>
      <c r="BT174" s="2"/>
      <c r="BU174" s="2"/>
    </row>
    <row r="175" spans="68:73" x14ac:dyDescent="0.25">
      <c r="BP175" s="2"/>
      <c r="BQ175" s="2"/>
      <c r="BR175" s="2"/>
      <c r="BS175" s="2"/>
      <c r="BT175" s="2"/>
      <c r="BU175" s="2"/>
    </row>
    <row r="176" spans="68:73" x14ac:dyDescent="0.25">
      <c r="BP176" s="2"/>
      <c r="BQ176" s="2"/>
      <c r="BR176" s="2"/>
      <c r="BS176" s="2"/>
      <c r="BT176" s="2"/>
      <c r="BU176" s="2"/>
    </row>
    <row r="177" spans="68:73" x14ac:dyDescent="0.25">
      <c r="BP177" s="2"/>
      <c r="BQ177" s="2"/>
      <c r="BR177" s="2"/>
      <c r="BS177" s="2"/>
      <c r="BT177" s="2"/>
      <c r="BU177" s="2"/>
    </row>
    <row r="178" spans="68:73" x14ac:dyDescent="0.25">
      <c r="BP178" s="2"/>
      <c r="BQ178" s="2"/>
      <c r="BR178" s="2"/>
      <c r="BS178" s="2"/>
      <c r="BT178" s="2"/>
      <c r="BU178" s="2"/>
    </row>
    <row r="179" spans="68:73" x14ac:dyDescent="0.25">
      <c r="BP179" s="2"/>
      <c r="BQ179" s="2"/>
      <c r="BR179" s="2"/>
      <c r="BS179" s="2"/>
      <c r="BT179" s="2"/>
      <c r="BU179" s="2"/>
    </row>
    <row r="180" spans="68:73" x14ac:dyDescent="0.25">
      <c r="BP180" s="2"/>
      <c r="BQ180" s="2"/>
      <c r="BR180" s="2"/>
      <c r="BS180" s="2"/>
      <c r="BT180" s="2"/>
      <c r="BU180" s="2"/>
    </row>
    <row r="181" spans="68:73" x14ac:dyDescent="0.25">
      <c r="BP181" s="2"/>
      <c r="BQ181" s="2"/>
      <c r="BR181" s="2"/>
      <c r="BS181" s="2"/>
      <c r="BT181" s="2"/>
      <c r="BU181" s="2"/>
    </row>
    <row r="182" spans="68:73" x14ac:dyDescent="0.25">
      <c r="BP182" s="2"/>
      <c r="BQ182" s="2"/>
      <c r="BR182" s="2"/>
      <c r="BS182" s="2"/>
      <c r="BT182" s="2"/>
      <c r="BU182" s="2"/>
    </row>
    <row r="183" spans="68:73" x14ac:dyDescent="0.25">
      <c r="BP183" s="2"/>
      <c r="BQ183" s="2"/>
      <c r="BR183" s="2"/>
      <c r="BS183" s="2"/>
      <c r="BT183" s="2"/>
      <c r="BU183" s="2"/>
    </row>
    <row r="184" spans="68:73" x14ac:dyDescent="0.25">
      <c r="BP184" s="2"/>
      <c r="BQ184" s="2"/>
      <c r="BR184" s="2"/>
      <c r="BS184" s="2"/>
      <c r="BT184" s="2"/>
      <c r="BU184" s="2"/>
    </row>
    <row r="185" spans="68:73" x14ac:dyDescent="0.25">
      <c r="BP185" s="2"/>
      <c r="BQ185" s="2"/>
      <c r="BR185" s="2"/>
      <c r="BS185" s="2"/>
      <c r="BT185" s="2"/>
      <c r="BU185" s="2"/>
    </row>
    <row r="186" spans="68:73" x14ac:dyDescent="0.25">
      <c r="BP186" s="2"/>
      <c r="BQ186" s="2"/>
      <c r="BR186" s="2"/>
      <c r="BS186" s="2"/>
      <c r="BT186" s="2"/>
      <c r="BU186" s="2"/>
    </row>
    <row r="187" spans="68:73" x14ac:dyDescent="0.25">
      <c r="BP187" s="2"/>
      <c r="BQ187" s="2"/>
      <c r="BR187" s="2"/>
      <c r="BS187" s="2"/>
      <c r="BT187" s="2"/>
      <c r="BU187" s="2"/>
    </row>
    <row r="188" spans="68:73" x14ac:dyDescent="0.25">
      <c r="BP188" s="2"/>
      <c r="BQ188" s="2"/>
      <c r="BR188" s="2"/>
      <c r="BS188" s="2"/>
      <c r="BT188" s="2"/>
      <c r="BU188" s="2"/>
    </row>
    <row r="189" spans="68:73" x14ac:dyDescent="0.25">
      <c r="BP189" s="2"/>
      <c r="BQ189" s="2"/>
      <c r="BR189" s="2"/>
      <c r="BS189" s="2"/>
      <c r="BT189" s="2"/>
      <c r="BU189" s="2"/>
    </row>
    <row r="190" spans="68:73" x14ac:dyDescent="0.25">
      <c r="BP190" s="2"/>
      <c r="BQ190" s="2"/>
      <c r="BR190" s="2"/>
      <c r="BS190" s="2"/>
      <c r="BT190" s="2"/>
      <c r="BU190" s="2"/>
    </row>
    <row r="191" spans="68:73" x14ac:dyDescent="0.25">
      <c r="BP191" s="2"/>
      <c r="BQ191" s="2"/>
      <c r="BR191" s="2"/>
      <c r="BS191" s="2"/>
      <c r="BT191" s="2"/>
      <c r="BU191" s="2"/>
    </row>
    <row r="192" spans="68:73" x14ac:dyDescent="0.25">
      <c r="BP192" s="2"/>
      <c r="BQ192" s="2"/>
      <c r="BR192" s="2"/>
      <c r="BS192" s="2"/>
      <c r="BT192" s="2"/>
      <c r="BU192" s="2"/>
    </row>
    <row r="193" spans="68:73" x14ac:dyDescent="0.25">
      <c r="BP193" s="2"/>
      <c r="BQ193" s="2"/>
      <c r="BR193" s="2"/>
      <c r="BS193" s="2"/>
      <c r="BT193" s="2"/>
      <c r="BU193" s="2"/>
    </row>
    <row r="194" spans="68:73" x14ac:dyDescent="0.25">
      <c r="BP194" s="2"/>
      <c r="BQ194" s="2"/>
      <c r="BR194" s="2"/>
      <c r="BS194" s="2"/>
      <c r="BT194" s="2"/>
      <c r="BU194" s="2"/>
    </row>
    <row r="195" spans="68:73" x14ac:dyDescent="0.25">
      <c r="BP195" s="2"/>
      <c r="BQ195" s="2"/>
      <c r="BR195" s="2"/>
      <c r="BS195" s="2"/>
      <c r="BT195" s="2"/>
      <c r="BU195" s="2"/>
    </row>
    <row r="196" spans="68:73" x14ac:dyDescent="0.25">
      <c r="BP196" s="2"/>
      <c r="BQ196" s="2"/>
      <c r="BR196" s="2"/>
      <c r="BS196" s="2"/>
      <c r="BT196" s="2"/>
      <c r="BU196" s="2"/>
    </row>
    <row r="197" spans="68:73" x14ac:dyDescent="0.25">
      <c r="BP197" s="2"/>
      <c r="BQ197" s="2"/>
      <c r="BR197" s="2"/>
      <c r="BS197" s="2"/>
      <c r="BT197" s="2"/>
      <c r="BU197" s="2"/>
    </row>
    <row r="198" spans="68:73" x14ac:dyDescent="0.25">
      <c r="BP198" s="2"/>
      <c r="BQ198" s="2"/>
      <c r="BR198" s="2"/>
      <c r="BS198" s="2"/>
      <c r="BT198" s="2"/>
      <c r="BU198" s="2"/>
    </row>
    <row r="199" spans="68:73" x14ac:dyDescent="0.25">
      <c r="BP199" s="2"/>
      <c r="BQ199" s="2"/>
      <c r="BR199" s="2"/>
      <c r="BS199" s="2"/>
      <c r="BT199" s="2"/>
      <c r="BU199" s="2"/>
    </row>
    <row r="200" spans="68:73" x14ac:dyDescent="0.25">
      <c r="BP200" s="2"/>
      <c r="BQ200" s="2"/>
      <c r="BR200" s="2"/>
      <c r="BS200" s="2"/>
      <c r="BT200" s="2"/>
      <c r="BU200" s="2"/>
    </row>
    <row r="201" spans="68:73" x14ac:dyDescent="0.25">
      <c r="BP201" s="2"/>
      <c r="BQ201" s="2"/>
      <c r="BR201" s="2"/>
      <c r="BS201" s="2"/>
      <c r="BT201" s="2"/>
      <c r="BU201" s="2"/>
    </row>
    <row r="202" spans="68:73" x14ac:dyDescent="0.25">
      <c r="BP202" s="2"/>
      <c r="BQ202" s="2"/>
      <c r="BR202" s="2"/>
      <c r="BS202" s="2"/>
      <c r="BT202" s="2"/>
      <c r="BU202" s="2"/>
    </row>
    <row r="203" spans="68:73" x14ac:dyDescent="0.25">
      <c r="BP203" s="2"/>
      <c r="BQ203" s="2"/>
      <c r="BR203" s="2"/>
      <c r="BS203" s="2"/>
      <c r="BT203" s="2"/>
      <c r="BU203" s="2"/>
    </row>
    <row r="204" spans="68:73" x14ac:dyDescent="0.25">
      <c r="BP204" s="2"/>
      <c r="BQ204" s="2"/>
      <c r="BR204" s="2"/>
      <c r="BS204" s="2"/>
      <c r="BT204" s="2"/>
      <c r="BU204" s="2"/>
    </row>
    <row r="205" spans="68:73" x14ac:dyDescent="0.25">
      <c r="BP205" s="2"/>
      <c r="BQ205" s="2"/>
      <c r="BR205" s="2"/>
      <c r="BS205" s="2"/>
      <c r="BT205" s="2"/>
      <c r="BU205" s="2"/>
    </row>
    <row r="206" spans="68:73" x14ac:dyDescent="0.25">
      <c r="BP206" s="2"/>
      <c r="BQ206" s="2"/>
      <c r="BR206" s="2"/>
      <c r="BS206" s="2"/>
      <c r="BT206" s="2"/>
      <c r="BU206" s="2"/>
    </row>
    <row r="207" spans="68:73" x14ac:dyDescent="0.25">
      <c r="BP207" s="2"/>
      <c r="BQ207" s="2"/>
      <c r="BR207" s="2"/>
      <c r="BS207" s="2"/>
      <c r="BT207" s="2"/>
      <c r="BU207" s="2"/>
    </row>
    <row r="208" spans="68:73" x14ac:dyDescent="0.25">
      <c r="BP208" s="2"/>
      <c r="BQ208" s="2"/>
      <c r="BR208" s="2"/>
      <c r="BS208" s="2"/>
      <c r="BT208" s="2"/>
      <c r="BU208" s="2"/>
    </row>
    <row r="209" spans="68:73" x14ac:dyDescent="0.25">
      <c r="BP209" s="2"/>
      <c r="BQ209" s="2"/>
      <c r="BR209" s="2"/>
      <c r="BS209" s="2"/>
      <c r="BT209" s="2"/>
      <c r="BU209" s="2"/>
    </row>
    <row r="210" spans="68:73" x14ac:dyDescent="0.25">
      <c r="BP210" s="2"/>
      <c r="BQ210" s="2"/>
      <c r="BR210" s="2"/>
      <c r="BS210" s="2"/>
      <c r="BT210" s="2"/>
      <c r="BU210" s="2"/>
    </row>
    <row r="211" spans="68:73" x14ac:dyDescent="0.25">
      <c r="BP211" s="2"/>
      <c r="BQ211" s="2"/>
      <c r="BR211" s="2"/>
      <c r="BS211" s="2"/>
      <c r="BT211" s="2"/>
      <c r="BU211" s="2"/>
    </row>
    <row r="212" spans="68:73" x14ac:dyDescent="0.25">
      <c r="BP212" s="2"/>
      <c r="BQ212" s="2"/>
      <c r="BR212" s="2"/>
      <c r="BS212" s="2"/>
      <c r="BT212" s="2"/>
      <c r="BU212" s="2"/>
    </row>
    <row r="213" spans="68:73" x14ac:dyDescent="0.25">
      <c r="BP213" s="2"/>
      <c r="BQ213" s="2"/>
      <c r="BR213" s="2"/>
      <c r="BS213" s="2"/>
      <c r="BT213" s="2"/>
      <c r="BU213" s="2"/>
    </row>
    <row r="214" spans="68:73" x14ac:dyDescent="0.25">
      <c r="BP214" s="2"/>
      <c r="BQ214" s="2"/>
      <c r="BR214" s="2"/>
      <c r="BS214" s="2"/>
      <c r="BT214" s="2"/>
      <c r="BU214" s="2"/>
    </row>
    <row r="215" spans="68:73" x14ac:dyDescent="0.25">
      <c r="BP215" s="2"/>
      <c r="BQ215" s="2"/>
      <c r="BR215" s="2"/>
      <c r="BS215" s="2"/>
      <c r="BT215" s="2"/>
      <c r="BU215" s="2"/>
    </row>
    <row r="216" spans="68:73" x14ac:dyDescent="0.25">
      <c r="BP216" s="2"/>
      <c r="BQ216" s="2"/>
      <c r="BR216" s="2"/>
      <c r="BS216" s="2"/>
      <c r="BT216" s="2"/>
      <c r="BU216" s="2"/>
    </row>
    <row r="217" spans="68:73" x14ac:dyDescent="0.25">
      <c r="BP217" s="2"/>
      <c r="BQ217" s="2"/>
      <c r="BR217" s="2"/>
      <c r="BS217" s="2"/>
      <c r="BT217" s="2"/>
      <c r="BU217" s="2"/>
    </row>
    <row r="218" spans="68:73" x14ac:dyDescent="0.25">
      <c r="BP218" s="2"/>
      <c r="BQ218" s="2"/>
      <c r="BR218" s="2"/>
      <c r="BS218" s="2"/>
      <c r="BT218" s="2"/>
      <c r="BU218" s="2"/>
    </row>
    <row r="219" spans="68:73" x14ac:dyDescent="0.25">
      <c r="BP219" s="2"/>
      <c r="BQ219" s="2"/>
      <c r="BR219" s="2"/>
      <c r="BS219" s="2"/>
      <c r="BT219" s="2"/>
      <c r="BU219" s="2"/>
    </row>
    <row r="220" spans="68:73" x14ac:dyDescent="0.25">
      <c r="BP220" s="2"/>
      <c r="BQ220" s="2"/>
      <c r="BR220" s="2"/>
      <c r="BS220" s="2"/>
      <c r="BT220" s="2"/>
      <c r="BU220" s="2"/>
    </row>
    <row r="221" spans="68:73" x14ac:dyDescent="0.25">
      <c r="BP221" s="2"/>
      <c r="BQ221" s="2"/>
      <c r="BR221" s="2"/>
      <c r="BS221" s="2"/>
      <c r="BT221" s="2"/>
      <c r="BU221" s="2"/>
    </row>
    <row r="222" spans="68:73" x14ac:dyDescent="0.25">
      <c r="BP222" s="2"/>
      <c r="BQ222" s="2"/>
      <c r="BR222" s="2"/>
      <c r="BS222" s="2"/>
      <c r="BT222" s="2"/>
      <c r="BU222" s="2"/>
    </row>
    <row r="223" spans="68:73" x14ac:dyDescent="0.25">
      <c r="BP223" s="2"/>
      <c r="BQ223" s="2"/>
      <c r="BR223" s="2"/>
      <c r="BS223" s="2"/>
      <c r="BT223" s="2"/>
      <c r="BU223" s="2"/>
    </row>
    <row r="224" spans="68:73" x14ac:dyDescent="0.25">
      <c r="BP224" s="2"/>
      <c r="BQ224" s="2"/>
      <c r="BR224" s="2"/>
      <c r="BS224" s="2"/>
      <c r="BT224" s="2"/>
      <c r="BU224" s="2"/>
    </row>
    <row r="225" spans="68:73" x14ac:dyDescent="0.25">
      <c r="BP225" s="2"/>
      <c r="BQ225" s="2"/>
      <c r="BR225" s="2"/>
      <c r="BS225" s="2"/>
      <c r="BT225" s="2"/>
      <c r="BU225" s="2"/>
    </row>
    <row r="226" spans="68:73" x14ac:dyDescent="0.25">
      <c r="BP226" s="2"/>
      <c r="BQ226" s="2"/>
      <c r="BR226" s="2"/>
      <c r="BS226" s="2"/>
      <c r="BT226" s="2"/>
      <c r="BU226" s="2"/>
    </row>
    <row r="227" spans="68:73" x14ac:dyDescent="0.25">
      <c r="BP227" s="2"/>
      <c r="BQ227" s="2"/>
      <c r="BR227" s="2"/>
      <c r="BS227" s="2"/>
      <c r="BT227" s="2"/>
      <c r="BU227" s="2"/>
    </row>
    <row r="228" spans="68:73" x14ac:dyDescent="0.25">
      <c r="BP228" s="2"/>
      <c r="BQ228" s="2"/>
      <c r="BR228" s="2"/>
      <c r="BS228" s="2"/>
      <c r="BT228" s="2"/>
      <c r="BU228" s="2"/>
    </row>
    <row r="229" spans="68:73" x14ac:dyDescent="0.25">
      <c r="BP229" s="2"/>
      <c r="BQ229" s="2"/>
      <c r="BR229" s="2"/>
      <c r="BS229" s="2"/>
      <c r="BT229" s="2"/>
      <c r="BU229" s="2"/>
    </row>
    <row r="230" spans="68:73" x14ac:dyDescent="0.25">
      <c r="BP230" s="2"/>
      <c r="BQ230" s="2"/>
      <c r="BR230" s="2"/>
      <c r="BS230" s="2"/>
      <c r="BT230" s="2"/>
      <c r="BU230" s="2"/>
    </row>
    <row r="231" spans="68:73" x14ac:dyDescent="0.25">
      <c r="BP231" s="2"/>
      <c r="BQ231" s="2"/>
      <c r="BR231" s="2"/>
      <c r="BS231" s="2"/>
      <c r="BT231" s="2"/>
      <c r="BU231" s="2"/>
    </row>
    <row r="232" spans="68:73" x14ac:dyDescent="0.25">
      <c r="BP232" s="2"/>
      <c r="BQ232" s="2"/>
      <c r="BR232" s="2"/>
      <c r="BS232" s="2"/>
      <c r="BT232" s="2"/>
      <c r="BU232" s="2"/>
    </row>
    <row r="233" spans="68:73" x14ac:dyDescent="0.25">
      <c r="BP233" s="2"/>
      <c r="BQ233" s="2"/>
      <c r="BR233" s="2"/>
      <c r="BS233" s="2"/>
      <c r="BT233" s="2"/>
      <c r="BU233" s="2"/>
    </row>
    <row r="234" spans="68:73" x14ac:dyDescent="0.25">
      <c r="BP234" s="2"/>
      <c r="BQ234" s="2"/>
      <c r="BR234" s="2"/>
      <c r="BS234" s="2"/>
      <c r="BT234" s="2"/>
      <c r="BU234" s="2"/>
    </row>
    <row r="235" spans="68:73" x14ac:dyDescent="0.25">
      <c r="BP235" s="2"/>
      <c r="BQ235" s="2"/>
      <c r="BR235" s="2"/>
      <c r="BS235" s="2"/>
      <c r="BT235" s="2"/>
      <c r="BU235" s="2"/>
    </row>
    <row r="236" spans="68:73" x14ac:dyDescent="0.25">
      <c r="BP236" s="2"/>
      <c r="BQ236" s="2"/>
      <c r="BR236" s="2"/>
      <c r="BS236" s="2"/>
      <c r="BT236" s="2"/>
      <c r="BU236" s="2"/>
    </row>
    <row r="237" spans="68:73" x14ac:dyDescent="0.25">
      <c r="BP237" s="2"/>
      <c r="BQ237" s="2"/>
      <c r="BR237" s="2"/>
      <c r="BS237" s="2"/>
      <c r="BT237" s="2"/>
      <c r="BU237" s="2"/>
    </row>
    <row r="238" spans="68:73" x14ac:dyDescent="0.25">
      <c r="BP238" s="2"/>
      <c r="BQ238" s="2"/>
      <c r="BR238" s="2"/>
      <c r="BS238" s="2"/>
      <c r="BT238" s="2"/>
      <c r="BU238" s="2"/>
    </row>
    <row r="239" spans="68:73" x14ac:dyDescent="0.25">
      <c r="BP239" s="2"/>
      <c r="BQ239" s="2"/>
      <c r="BR239" s="2"/>
      <c r="BS239" s="2"/>
      <c r="BT239" s="2"/>
      <c r="BU239" s="2"/>
    </row>
    <row r="240" spans="68:73" x14ac:dyDescent="0.25">
      <c r="BP240" s="2"/>
      <c r="BQ240" s="2"/>
      <c r="BR240" s="2"/>
      <c r="BS240" s="2"/>
      <c r="BT240" s="2"/>
      <c r="BU240" s="2"/>
    </row>
    <row r="241" spans="68:73" x14ac:dyDescent="0.25">
      <c r="BP241" s="2"/>
      <c r="BQ241" s="2"/>
      <c r="BR241" s="2"/>
      <c r="BS241" s="2"/>
      <c r="BT241" s="2"/>
      <c r="BU241" s="2"/>
    </row>
    <row r="242" spans="68:73" x14ac:dyDescent="0.25">
      <c r="BP242" s="2"/>
      <c r="BQ242" s="2"/>
      <c r="BR242" s="2"/>
      <c r="BS242" s="2"/>
      <c r="BT242" s="2"/>
      <c r="BU242" s="2"/>
    </row>
    <row r="243" spans="68:73" x14ac:dyDescent="0.25">
      <c r="BP243" s="2"/>
      <c r="BQ243" s="2"/>
      <c r="BR243" s="2"/>
      <c r="BS243" s="2"/>
      <c r="BT243" s="2"/>
      <c r="BU243" s="2"/>
    </row>
    <row r="244" spans="68:73" x14ac:dyDescent="0.25">
      <c r="BP244" s="2"/>
      <c r="BQ244" s="2"/>
      <c r="BR244" s="2"/>
      <c r="BS244" s="2"/>
      <c r="BT244" s="2"/>
      <c r="BU244" s="2"/>
    </row>
    <row r="245" spans="68:73" x14ac:dyDescent="0.25">
      <c r="BP245" s="2"/>
      <c r="BQ245" s="2"/>
      <c r="BR245" s="2"/>
      <c r="BS245" s="2"/>
      <c r="BT245" s="2"/>
      <c r="BU245" s="2"/>
    </row>
    <row r="246" spans="68:73" x14ac:dyDescent="0.25">
      <c r="BP246" s="2"/>
      <c r="BQ246" s="2"/>
      <c r="BR246" s="2"/>
      <c r="BS246" s="2"/>
      <c r="BT246" s="2"/>
      <c r="BU246" s="2"/>
    </row>
    <row r="247" spans="68:73" x14ac:dyDescent="0.25">
      <c r="BP247" s="2"/>
      <c r="BQ247" s="2"/>
      <c r="BR247" s="2"/>
      <c r="BS247" s="2"/>
      <c r="BT247" s="2"/>
      <c r="BU247" s="2"/>
    </row>
    <row r="248" spans="68:73" x14ac:dyDescent="0.25">
      <c r="BP248" s="2"/>
      <c r="BQ248" s="2"/>
      <c r="BR248" s="2"/>
      <c r="BS248" s="2"/>
      <c r="BT248" s="2"/>
      <c r="BU248" s="2"/>
    </row>
    <row r="249" spans="68:73" x14ac:dyDescent="0.25">
      <c r="BP249" s="2"/>
      <c r="BQ249" s="2"/>
      <c r="BR249" s="2"/>
      <c r="BS249" s="2"/>
      <c r="BT249" s="2"/>
      <c r="BU249" s="2"/>
    </row>
    <row r="250" spans="68:73" x14ac:dyDescent="0.25">
      <c r="BP250" s="2"/>
      <c r="BQ250" s="2"/>
      <c r="BR250" s="2"/>
      <c r="BS250" s="2"/>
      <c r="BT250" s="2"/>
      <c r="BU250" s="2"/>
    </row>
    <row r="251" spans="68:73" x14ac:dyDescent="0.25">
      <c r="BP251" s="2"/>
      <c r="BQ251" s="2"/>
      <c r="BR251" s="2"/>
      <c r="BS251" s="2"/>
      <c r="BT251" s="2"/>
      <c r="BU251" s="2"/>
    </row>
    <row r="252" spans="68:73" x14ac:dyDescent="0.25">
      <c r="BP252" s="2"/>
      <c r="BQ252" s="2"/>
      <c r="BR252" s="2"/>
      <c r="BS252" s="2"/>
      <c r="BT252" s="2"/>
      <c r="BU252" s="2"/>
    </row>
    <row r="253" spans="68:73" x14ac:dyDescent="0.25">
      <c r="BP253" s="2"/>
      <c r="BQ253" s="2"/>
      <c r="BR253" s="2"/>
      <c r="BS253" s="2"/>
      <c r="BT253" s="2"/>
      <c r="BU253" s="2"/>
    </row>
    <row r="254" spans="68:73" x14ac:dyDescent="0.25">
      <c r="BP254" s="2"/>
      <c r="BQ254" s="2"/>
      <c r="BR254" s="2"/>
      <c r="BS254" s="2"/>
      <c r="BT254" s="2"/>
      <c r="BU254" s="2"/>
    </row>
    <row r="255" spans="68:73" x14ac:dyDescent="0.25">
      <c r="BP255" s="2"/>
      <c r="BQ255" s="2"/>
      <c r="BR255" s="2"/>
      <c r="BS255" s="2"/>
      <c r="BT255" s="2"/>
      <c r="BU255" s="2"/>
    </row>
    <row r="256" spans="68:73" x14ac:dyDescent="0.25">
      <c r="BP256" s="2"/>
      <c r="BQ256" s="2"/>
      <c r="BR256" s="2"/>
      <c r="BS256" s="2"/>
      <c r="BT256" s="2"/>
      <c r="BU256" s="2"/>
    </row>
    <row r="257" spans="68:73" x14ac:dyDescent="0.25">
      <c r="BP257" s="2"/>
      <c r="BQ257" s="2"/>
      <c r="BR257" s="2"/>
      <c r="BS257" s="2"/>
      <c r="BT257" s="2"/>
      <c r="BU257" s="2"/>
    </row>
    <row r="258" spans="68:73" x14ac:dyDescent="0.25">
      <c r="BP258" s="2"/>
      <c r="BQ258" s="2"/>
      <c r="BR258" s="2"/>
      <c r="BS258" s="2"/>
      <c r="BT258" s="2"/>
      <c r="BU258" s="2"/>
    </row>
    <row r="259" spans="68:73" x14ac:dyDescent="0.25">
      <c r="BP259" s="2"/>
      <c r="BQ259" s="2"/>
      <c r="BR259" s="2"/>
      <c r="BS259" s="2"/>
      <c r="BT259" s="2"/>
      <c r="BU259" s="2"/>
    </row>
    <row r="260" spans="68:73" x14ac:dyDescent="0.25">
      <c r="BP260" s="2"/>
      <c r="BQ260" s="2"/>
      <c r="BR260" s="2"/>
      <c r="BS260" s="2"/>
      <c r="BT260" s="2"/>
      <c r="BU260" s="2"/>
    </row>
    <row r="261" spans="68:73" x14ac:dyDescent="0.25">
      <c r="BP261" s="2"/>
      <c r="BQ261" s="2"/>
      <c r="BR261" s="2"/>
      <c r="BS261" s="2"/>
      <c r="BT261" s="2"/>
      <c r="BU261" s="2"/>
    </row>
    <row r="262" spans="68:73" x14ac:dyDescent="0.25">
      <c r="BP262" s="2"/>
      <c r="BQ262" s="2"/>
      <c r="BR262" s="2"/>
      <c r="BS262" s="2"/>
      <c r="BT262" s="2"/>
      <c r="BU262" s="2"/>
    </row>
    <row r="263" spans="68:73" x14ac:dyDescent="0.25">
      <c r="BP263" s="2"/>
      <c r="BQ263" s="2"/>
      <c r="BR263" s="2"/>
      <c r="BS263" s="2"/>
      <c r="BT263" s="2"/>
      <c r="BU263" s="2"/>
    </row>
    <row r="264" spans="68:73" x14ac:dyDescent="0.25">
      <c r="BP264" s="2"/>
      <c r="BQ264" s="2"/>
      <c r="BR264" s="2"/>
      <c r="BS264" s="2"/>
      <c r="BT264" s="2"/>
      <c r="BU264" s="2"/>
    </row>
    <row r="265" spans="68:73" x14ac:dyDescent="0.25">
      <c r="BP265" s="2"/>
      <c r="BQ265" s="2"/>
      <c r="BR265" s="2"/>
      <c r="BS265" s="2"/>
      <c r="BT265" s="2"/>
      <c r="BU265" s="2"/>
    </row>
    <row r="266" spans="68:73" x14ac:dyDescent="0.25">
      <c r="BP266" s="2"/>
      <c r="BQ266" s="2"/>
      <c r="BR266" s="2"/>
      <c r="BS266" s="2"/>
      <c r="BT266" s="2"/>
      <c r="BU266" s="2"/>
    </row>
    <row r="267" spans="68:73" x14ac:dyDescent="0.25">
      <c r="BP267" s="2"/>
      <c r="BQ267" s="2"/>
      <c r="BR267" s="2"/>
      <c r="BS267" s="2"/>
      <c r="BT267" s="2"/>
      <c r="BU267" s="2"/>
    </row>
    <row r="268" spans="68:73" x14ac:dyDescent="0.25">
      <c r="BP268" s="2"/>
      <c r="BQ268" s="2"/>
      <c r="BR268" s="2"/>
      <c r="BS268" s="2"/>
      <c r="BT268" s="2"/>
      <c r="BU268" s="2"/>
    </row>
    <row r="269" spans="68:73" x14ac:dyDescent="0.25">
      <c r="BP269" s="2"/>
      <c r="BQ269" s="2"/>
      <c r="BR269" s="2"/>
      <c r="BS269" s="2"/>
      <c r="BT269" s="2"/>
      <c r="BU269" s="2"/>
    </row>
    <row r="270" spans="68:73" x14ac:dyDescent="0.25">
      <c r="BP270" s="2"/>
      <c r="BQ270" s="2"/>
      <c r="BR270" s="2"/>
      <c r="BS270" s="2"/>
      <c r="BT270" s="2"/>
      <c r="BU270" s="2"/>
    </row>
    <row r="271" spans="68:73" x14ac:dyDescent="0.25">
      <c r="BP271" s="2"/>
      <c r="BQ271" s="2"/>
      <c r="BR271" s="2"/>
      <c r="BS271" s="2"/>
      <c r="BT271" s="2"/>
      <c r="BU271" s="2"/>
    </row>
    <row r="272" spans="68:73" x14ac:dyDescent="0.25">
      <c r="BP272" s="2"/>
      <c r="BQ272" s="2"/>
      <c r="BR272" s="2"/>
      <c r="BS272" s="2"/>
      <c r="BT272" s="2"/>
      <c r="BU272" s="2"/>
    </row>
    <row r="273" spans="68:73" x14ac:dyDescent="0.25">
      <c r="BP273" s="2"/>
      <c r="BQ273" s="2"/>
      <c r="BR273" s="2"/>
      <c r="BS273" s="2"/>
      <c r="BT273" s="2"/>
      <c r="BU273" s="2"/>
    </row>
    <row r="274" spans="68:73" x14ac:dyDescent="0.25">
      <c r="BP274" s="2"/>
      <c r="BQ274" s="2"/>
      <c r="BR274" s="2"/>
      <c r="BS274" s="2"/>
      <c r="BT274" s="2"/>
      <c r="BU274" s="2"/>
    </row>
    <row r="275" spans="68:73" x14ac:dyDescent="0.25">
      <c r="BP275" s="2"/>
      <c r="BQ275" s="2"/>
      <c r="BR275" s="2"/>
      <c r="BS275" s="2"/>
      <c r="BT275" s="2"/>
      <c r="BU275" s="2"/>
    </row>
    <row r="276" spans="68:73" x14ac:dyDescent="0.25">
      <c r="BP276" s="2"/>
      <c r="BQ276" s="2"/>
      <c r="BR276" s="2"/>
      <c r="BS276" s="2"/>
      <c r="BT276" s="2"/>
      <c r="BU276" s="2"/>
    </row>
    <row r="277" spans="68:73" x14ac:dyDescent="0.25">
      <c r="BP277" s="2"/>
      <c r="BQ277" s="2"/>
      <c r="BR277" s="2"/>
      <c r="BS277" s="2"/>
      <c r="BT277" s="2"/>
      <c r="BU277" s="2"/>
    </row>
    <row r="278" spans="68:73" x14ac:dyDescent="0.25">
      <c r="BP278" s="2"/>
      <c r="BQ278" s="2"/>
      <c r="BR278" s="2"/>
      <c r="BS278" s="2"/>
      <c r="BT278" s="2"/>
      <c r="BU278" s="2"/>
    </row>
    <row r="279" spans="68:73" x14ac:dyDescent="0.25">
      <c r="BP279" s="2"/>
      <c r="BQ279" s="2"/>
      <c r="BR279" s="2"/>
      <c r="BS279" s="2"/>
      <c r="BT279" s="2"/>
      <c r="BU279" s="2"/>
    </row>
    <row r="280" spans="68:73" x14ac:dyDescent="0.25">
      <c r="BP280" s="2"/>
      <c r="BQ280" s="2"/>
      <c r="BR280" s="2"/>
      <c r="BS280" s="2"/>
      <c r="BT280" s="2"/>
      <c r="BU280" s="2"/>
    </row>
    <row r="281" spans="68:73" x14ac:dyDescent="0.25">
      <c r="BP281" s="2"/>
      <c r="BQ281" s="2"/>
      <c r="BR281" s="2"/>
      <c r="BS281" s="2"/>
      <c r="BT281" s="2"/>
      <c r="BU281" s="2"/>
    </row>
    <row r="282" spans="68:73" x14ac:dyDescent="0.25">
      <c r="BP282" s="2"/>
      <c r="BQ282" s="2"/>
      <c r="BR282" s="2"/>
      <c r="BS282" s="2"/>
      <c r="BT282" s="2"/>
      <c r="BU282" s="2"/>
    </row>
    <row r="283" spans="68:73" x14ac:dyDescent="0.25">
      <c r="BP283" s="2"/>
      <c r="BQ283" s="2"/>
      <c r="BR283" s="2"/>
      <c r="BS283" s="2"/>
      <c r="BT283" s="2"/>
      <c r="BU283" s="2"/>
    </row>
    <row r="284" spans="68:73" x14ac:dyDescent="0.25">
      <c r="BP284" s="2"/>
      <c r="BQ284" s="2"/>
      <c r="BR284" s="2"/>
      <c r="BS284" s="2"/>
      <c r="BT284" s="2"/>
      <c r="BU284" s="2"/>
    </row>
    <row r="285" spans="68:73" x14ac:dyDescent="0.25">
      <c r="BP285" s="2"/>
      <c r="BQ285" s="2"/>
      <c r="BR285" s="2"/>
      <c r="BS285" s="2"/>
      <c r="BT285" s="2"/>
      <c r="BU285" s="2"/>
    </row>
    <row r="286" spans="68:73" x14ac:dyDescent="0.25">
      <c r="BP286" s="2"/>
      <c r="BQ286" s="2"/>
      <c r="BR286" s="2"/>
      <c r="BS286" s="2"/>
      <c r="BT286" s="2"/>
      <c r="BU286" s="2"/>
    </row>
    <row r="287" spans="68:73" x14ac:dyDescent="0.25">
      <c r="BP287" s="2"/>
      <c r="BQ287" s="2"/>
      <c r="BR287" s="2"/>
      <c r="BS287" s="2"/>
      <c r="BT287" s="2"/>
      <c r="BU287" s="2"/>
    </row>
    <row r="288" spans="68:73" x14ac:dyDescent="0.25">
      <c r="BP288" s="2"/>
      <c r="BQ288" s="2"/>
      <c r="BR288" s="2"/>
      <c r="BS288" s="2"/>
      <c r="BT288" s="2"/>
      <c r="BU288" s="2"/>
    </row>
    <row r="289" spans="68:73" x14ac:dyDescent="0.25">
      <c r="BP289" s="2"/>
      <c r="BQ289" s="2"/>
      <c r="BR289" s="2"/>
      <c r="BS289" s="2"/>
      <c r="BT289" s="2"/>
      <c r="BU289" s="2"/>
    </row>
    <row r="290" spans="68:73" x14ac:dyDescent="0.25">
      <c r="BP290" s="2"/>
      <c r="BQ290" s="2"/>
      <c r="BR290" s="2"/>
      <c r="BS290" s="2"/>
      <c r="BT290" s="2"/>
      <c r="BU290" s="2"/>
    </row>
    <row r="291" spans="68:73" x14ac:dyDescent="0.25">
      <c r="BP291" s="2"/>
      <c r="BQ291" s="2"/>
      <c r="BR291" s="2"/>
      <c r="BS291" s="2"/>
      <c r="BT291" s="2"/>
      <c r="BU291" s="2"/>
    </row>
    <row r="292" spans="68:73" x14ac:dyDescent="0.25">
      <c r="BP292" s="2"/>
      <c r="BQ292" s="2"/>
      <c r="BR292" s="2"/>
      <c r="BS292" s="2"/>
      <c r="BT292" s="2"/>
      <c r="BU292" s="2"/>
    </row>
    <row r="293" spans="68:73" x14ac:dyDescent="0.25">
      <c r="BP293" s="2"/>
      <c r="BQ293" s="2"/>
      <c r="BR293" s="2"/>
      <c r="BS293" s="2"/>
      <c r="BT293" s="2"/>
      <c r="BU293" s="2"/>
    </row>
    <row r="294" spans="68:73" x14ac:dyDescent="0.25">
      <c r="BP294" s="2"/>
      <c r="BQ294" s="2"/>
      <c r="BR294" s="2"/>
      <c r="BS294" s="2"/>
      <c r="BT294" s="2"/>
      <c r="BU294" s="2"/>
    </row>
    <row r="295" spans="68:73" x14ac:dyDescent="0.25">
      <c r="BP295" s="2"/>
      <c r="BQ295" s="2"/>
      <c r="BR295" s="2"/>
      <c r="BS295" s="2"/>
      <c r="BT295" s="2"/>
      <c r="BU295" s="2"/>
    </row>
    <row r="296" spans="68:73" x14ac:dyDescent="0.25">
      <c r="BP296" s="2"/>
      <c r="BQ296" s="2"/>
      <c r="BR296" s="2"/>
      <c r="BS296" s="2"/>
      <c r="BT296" s="2"/>
      <c r="BU296" s="2"/>
    </row>
    <row r="297" spans="68:73" x14ac:dyDescent="0.25">
      <c r="BP297" s="2"/>
      <c r="BQ297" s="2"/>
      <c r="BR297" s="2"/>
      <c r="BS297" s="2"/>
      <c r="BT297" s="2"/>
      <c r="BU297" s="2"/>
    </row>
    <row r="298" spans="68:73" x14ac:dyDescent="0.25">
      <c r="BP298" s="2"/>
      <c r="BQ298" s="2"/>
      <c r="BR298" s="2"/>
      <c r="BS298" s="2"/>
      <c r="BT298" s="2"/>
      <c r="BU298" s="2"/>
    </row>
    <row r="299" spans="68:73" x14ac:dyDescent="0.25">
      <c r="BP299" s="2"/>
      <c r="BQ299" s="2"/>
      <c r="BR299" s="2"/>
      <c r="BS299" s="2"/>
      <c r="BT299" s="2"/>
      <c r="BU299" s="2"/>
    </row>
    <row r="300" spans="68:73" x14ac:dyDescent="0.25">
      <c r="BP300" s="2"/>
      <c r="BQ300" s="2"/>
      <c r="BR300" s="2"/>
      <c r="BS300" s="2"/>
      <c r="BT300" s="2"/>
      <c r="BU300" s="2"/>
    </row>
    <row r="301" spans="68:73" x14ac:dyDescent="0.25">
      <c r="BP301" s="2"/>
      <c r="BQ301" s="2"/>
      <c r="BR301" s="2"/>
      <c r="BS301" s="2"/>
      <c r="BT301" s="2"/>
      <c r="BU301" s="2"/>
    </row>
    <row r="302" spans="68:73" x14ac:dyDescent="0.25">
      <c r="BP302" s="2"/>
      <c r="BQ302" s="2"/>
      <c r="BR302" s="2"/>
      <c r="BS302" s="2"/>
      <c r="BT302" s="2"/>
      <c r="BU302" s="2"/>
    </row>
    <row r="303" spans="68:73" x14ac:dyDescent="0.25">
      <c r="BP303" s="2"/>
      <c r="BQ303" s="2"/>
      <c r="BR303" s="2"/>
      <c r="BS303" s="2"/>
      <c r="BT303" s="2"/>
      <c r="BU303" s="2"/>
    </row>
    <row r="304" spans="68:73" x14ac:dyDescent="0.25">
      <c r="BP304" s="2"/>
      <c r="BQ304" s="2"/>
      <c r="BR304" s="2"/>
      <c r="BS304" s="2"/>
      <c r="BT304" s="2"/>
      <c r="BU304" s="2"/>
    </row>
    <row r="305" spans="68:73" x14ac:dyDescent="0.25">
      <c r="BP305" s="2"/>
      <c r="BQ305" s="2"/>
      <c r="BR305" s="2"/>
      <c r="BS305" s="2"/>
      <c r="BT305" s="2"/>
      <c r="BU305" s="2"/>
    </row>
    <row r="306" spans="68:73" x14ac:dyDescent="0.25">
      <c r="BP306" s="2"/>
      <c r="BQ306" s="2"/>
      <c r="BR306" s="2"/>
      <c r="BS306" s="2"/>
      <c r="BT306" s="2"/>
      <c r="BU306" s="2"/>
    </row>
    <row r="307" spans="68:73" x14ac:dyDescent="0.25">
      <c r="BP307" s="2"/>
      <c r="BQ307" s="2"/>
      <c r="BR307" s="2"/>
      <c r="BS307" s="2"/>
      <c r="BT307" s="2"/>
      <c r="BU307" s="2"/>
    </row>
    <row r="308" spans="68:73" x14ac:dyDescent="0.25">
      <c r="BP308" s="2"/>
      <c r="BQ308" s="2"/>
      <c r="BR308" s="2"/>
      <c r="BS308" s="2"/>
      <c r="BT308" s="2"/>
      <c r="BU308" s="2"/>
    </row>
    <row r="309" spans="68:73" x14ac:dyDescent="0.25">
      <c r="BP309" s="2"/>
      <c r="BQ309" s="2"/>
      <c r="BR309" s="2"/>
      <c r="BS309" s="2"/>
      <c r="BT309" s="2"/>
      <c r="BU309" s="2"/>
    </row>
    <row r="310" spans="68:73" x14ac:dyDescent="0.25">
      <c r="BP310" s="2"/>
      <c r="BQ310" s="2"/>
      <c r="BR310" s="2"/>
      <c r="BS310" s="2"/>
      <c r="BT310" s="2"/>
      <c r="BU310" s="2"/>
    </row>
    <row r="311" spans="68:73" x14ac:dyDescent="0.25">
      <c r="BP311" s="2"/>
      <c r="BQ311" s="2"/>
      <c r="BR311" s="2"/>
      <c r="BS311" s="2"/>
      <c r="BT311" s="2"/>
      <c r="BU311" s="2"/>
    </row>
    <row r="312" spans="68:73" x14ac:dyDescent="0.25">
      <c r="BP312" s="2"/>
      <c r="BQ312" s="2"/>
      <c r="BR312" s="2"/>
      <c r="BS312" s="2"/>
      <c r="BT312" s="2"/>
      <c r="BU312" s="2"/>
    </row>
    <row r="313" spans="68:73" x14ac:dyDescent="0.25">
      <c r="BP313" s="2"/>
      <c r="BQ313" s="2"/>
      <c r="BR313" s="2"/>
      <c r="BS313" s="2"/>
      <c r="BT313" s="2"/>
      <c r="BU313" s="2"/>
    </row>
    <row r="314" spans="68:73" x14ac:dyDescent="0.25">
      <c r="BP314" s="2"/>
      <c r="BQ314" s="2"/>
      <c r="BR314" s="2"/>
      <c r="BS314" s="2"/>
      <c r="BT314" s="2"/>
      <c r="BU314" s="2"/>
    </row>
    <row r="315" spans="68:73" x14ac:dyDescent="0.25">
      <c r="BP315" s="2"/>
      <c r="BQ315" s="2"/>
      <c r="BR315" s="2"/>
      <c r="BS315" s="2"/>
      <c r="BT315" s="2"/>
      <c r="BU315" s="2"/>
    </row>
    <row r="316" spans="68:73" x14ac:dyDescent="0.25">
      <c r="BP316" s="2"/>
      <c r="BQ316" s="2"/>
      <c r="BR316" s="2"/>
      <c r="BS316" s="2"/>
      <c r="BT316" s="2"/>
      <c r="BU316" s="2"/>
    </row>
    <row r="317" spans="68:73" x14ac:dyDescent="0.25">
      <c r="BP317" s="2"/>
      <c r="BQ317" s="2"/>
      <c r="BR317" s="2"/>
      <c r="BS317" s="2"/>
      <c r="BT317" s="2"/>
      <c r="BU317" s="2"/>
    </row>
    <row r="318" spans="68:73" x14ac:dyDescent="0.25">
      <c r="BP318" s="2"/>
      <c r="BQ318" s="2"/>
      <c r="BR318" s="2"/>
      <c r="BS318" s="2"/>
      <c r="BT318" s="2"/>
      <c r="BU318" s="2"/>
    </row>
    <row r="319" spans="68:73" x14ac:dyDescent="0.25">
      <c r="BP319" s="2"/>
      <c r="BQ319" s="2"/>
      <c r="BR319" s="2"/>
      <c r="BS319" s="2"/>
      <c r="BT319" s="2"/>
      <c r="BU319" s="2"/>
    </row>
    <row r="320" spans="68:73" x14ac:dyDescent="0.25">
      <c r="BP320" s="2"/>
      <c r="BQ320" s="2"/>
      <c r="BR320" s="2"/>
      <c r="BS320" s="2"/>
      <c r="BT320" s="2"/>
      <c r="BU320" s="2"/>
    </row>
    <row r="321" spans="68:73" x14ac:dyDescent="0.25">
      <c r="BP321" s="2"/>
      <c r="BQ321" s="2"/>
      <c r="BR321" s="2"/>
      <c r="BS321" s="2"/>
      <c r="BT321" s="2"/>
      <c r="BU321" s="2"/>
    </row>
    <row r="322" spans="68:73" x14ac:dyDescent="0.25">
      <c r="BP322" s="2"/>
      <c r="BQ322" s="2"/>
      <c r="BR322" s="2"/>
      <c r="BS322" s="2"/>
      <c r="BT322" s="2"/>
      <c r="BU322" s="2"/>
    </row>
    <row r="323" spans="68:73" x14ac:dyDescent="0.25">
      <c r="BP323" s="2"/>
      <c r="BQ323" s="2"/>
      <c r="BR323" s="2"/>
      <c r="BS323" s="2"/>
      <c r="BT323" s="2"/>
      <c r="BU323" s="2"/>
    </row>
    <row r="324" spans="68:73" x14ac:dyDescent="0.25">
      <c r="BP324" s="2"/>
      <c r="BQ324" s="2"/>
      <c r="BR324" s="2"/>
      <c r="BS324" s="2"/>
      <c r="BT324" s="2"/>
      <c r="BU324" s="2"/>
    </row>
    <row r="325" spans="68:73" x14ac:dyDescent="0.25">
      <c r="BP325" s="2"/>
      <c r="BQ325" s="2"/>
      <c r="BR325" s="2"/>
      <c r="BS325" s="2"/>
      <c r="BT325" s="2"/>
      <c r="BU325" s="2"/>
    </row>
    <row r="326" spans="68:73" x14ac:dyDescent="0.25">
      <c r="BP326" s="2"/>
      <c r="BQ326" s="2"/>
      <c r="BR326" s="2"/>
      <c r="BS326" s="2"/>
      <c r="BT326" s="2"/>
      <c r="BU326" s="2"/>
    </row>
    <row r="327" spans="68:73" x14ac:dyDescent="0.25">
      <c r="BP327" s="2"/>
      <c r="BQ327" s="2"/>
      <c r="BR327" s="2"/>
      <c r="BS327" s="2"/>
      <c r="BT327" s="2"/>
      <c r="BU327" s="2"/>
    </row>
    <row r="328" spans="68:73" x14ac:dyDescent="0.25">
      <c r="BP328" s="2"/>
      <c r="BQ328" s="2"/>
      <c r="BR328" s="2"/>
      <c r="BS328" s="2"/>
      <c r="BT328" s="2"/>
      <c r="BU328" s="2"/>
    </row>
    <row r="329" spans="68:73" x14ac:dyDescent="0.25">
      <c r="BP329" s="2"/>
      <c r="BQ329" s="2"/>
      <c r="BR329" s="2"/>
      <c r="BS329" s="2"/>
      <c r="BT329" s="2"/>
      <c r="BU329" s="2"/>
    </row>
    <row r="330" spans="68:73" x14ac:dyDescent="0.25">
      <c r="BP330" s="2"/>
      <c r="BQ330" s="2"/>
      <c r="BR330" s="2"/>
      <c r="BS330" s="2"/>
      <c r="BT330" s="2"/>
      <c r="BU330" s="2"/>
    </row>
    <row r="331" spans="68:73" x14ac:dyDescent="0.25">
      <c r="BP331" s="2"/>
      <c r="BQ331" s="2"/>
      <c r="BR331" s="2"/>
      <c r="BS331" s="2"/>
      <c r="BT331" s="2"/>
      <c r="BU331" s="2"/>
    </row>
    <row r="332" spans="68:73" x14ac:dyDescent="0.25">
      <c r="BP332" s="2"/>
      <c r="BQ332" s="2"/>
      <c r="BR332" s="2"/>
      <c r="BS332" s="2"/>
      <c r="BT332" s="2"/>
      <c r="BU332" s="2"/>
    </row>
    <row r="333" spans="68:73" x14ac:dyDescent="0.25">
      <c r="BP333" s="2"/>
      <c r="BQ333" s="2"/>
      <c r="BR333" s="2"/>
      <c r="BS333" s="2"/>
      <c r="BT333" s="2"/>
      <c r="BU333" s="2"/>
    </row>
    <row r="334" spans="68:73" x14ac:dyDescent="0.25">
      <c r="BP334" s="2"/>
      <c r="BQ334" s="2"/>
      <c r="BR334" s="2"/>
      <c r="BS334" s="2"/>
      <c r="BT334" s="2"/>
      <c r="BU334" s="2"/>
    </row>
    <row r="335" spans="68:73" x14ac:dyDescent="0.25">
      <c r="BP335" s="2"/>
      <c r="BQ335" s="2"/>
      <c r="BR335" s="2"/>
      <c r="BS335" s="2"/>
      <c r="BT335" s="2"/>
      <c r="BU335" s="2"/>
    </row>
    <row r="336" spans="68:73" x14ac:dyDescent="0.25">
      <c r="BP336" s="2"/>
      <c r="BQ336" s="2"/>
      <c r="BR336" s="2"/>
      <c r="BS336" s="2"/>
      <c r="BT336" s="2"/>
      <c r="BU336" s="2"/>
    </row>
    <row r="337" spans="68:73" x14ac:dyDescent="0.25">
      <c r="BP337" s="2"/>
      <c r="BQ337" s="2"/>
      <c r="BR337" s="2"/>
      <c r="BS337" s="2"/>
      <c r="BT337" s="2"/>
      <c r="BU337" s="2"/>
    </row>
    <row r="338" spans="68:73" x14ac:dyDescent="0.25">
      <c r="BP338" s="2"/>
      <c r="BQ338" s="2"/>
      <c r="BR338" s="2"/>
      <c r="BS338" s="2"/>
      <c r="BT338" s="2"/>
      <c r="BU338" s="2"/>
    </row>
    <row r="339" spans="68:73" x14ac:dyDescent="0.25">
      <c r="BP339" s="2"/>
      <c r="BQ339" s="2"/>
      <c r="BR339" s="2"/>
      <c r="BS339" s="2"/>
      <c r="BT339" s="2"/>
      <c r="BU339" s="2"/>
    </row>
    <row r="340" spans="68:73" x14ac:dyDescent="0.25">
      <c r="BP340" s="2"/>
      <c r="BQ340" s="2"/>
      <c r="BR340" s="2"/>
      <c r="BS340" s="2"/>
      <c r="BT340" s="2"/>
      <c r="BU340" s="2"/>
    </row>
    <row r="341" spans="68:73" x14ac:dyDescent="0.25">
      <c r="BP341" s="2"/>
      <c r="BQ341" s="2"/>
      <c r="BR341" s="2"/>
      <c r="BS341" s="2"/>
      <c r="BT341" s="2"/>
      <c r="BU341" s="2"/>
    </row>
    <row r="342" spans="68:73" x14ac:dyDescent="0.25">
      <c r="BP342" s="2"/>
      <c r="BQ342" s="2"/>
      <c r="BR342" s="2"/>
      <c r="BS342" s="2"/>
      <c r="BT342" s="2"/>
      <c r="BU342" s="2"/>
    </row>
    <row r="343" spans="68:73" x14ac:dyDescent="0.25">
      <c r="BP343" s="2"/>
      <c r="BQ343" s="2"/>
      <c r="BR343" s="2"/>
      <c r="BS343" s="2"/>
      <c r="BT343" s="2"/>
      <c r="BU343" s="2"/>
    </row>
    <row r="344" spans="68:73" x14ac:dyDescent="0.25">
      <c r="BP344" s="2"/>
      <c r="BQ344" s="2"/>
      <c r="BR344" s="2"/>
      <c r="BS344" s="2"/>
      <c r="BT344" s="2"/>
      <c r="BU344" s="2"/>
    </row>
    <row r="345" spans="68:73" x14ac:dyDescent="0.25">
      <c r="BP345" s="2"/>
      <c r="BQ345" s="2"/>
      <c r="BR345" s="2"/>
      <c r="BS345" s="2"/>
      <c r="BT345" s="2"/>
      <c r="BU345" s="2"/>
    </row>
    <row r="346" spans="68:73" x14ac:dyDescent="0.25">
      <c r="BP346" s="2"/>
      <c r="BQ346" s="2"/>
      <c r="BR346" s="2"/>
      <c r="BS346" s="2"/>
      <c r="BT346" s="2"/>
      <c r="BU346" s="2"/>
    </row>
    <row r="347" spans="68:73" x14ac:dyDescent="0.25">
      <c r="BP347" s="2"/>
      <c r="BQ347" s="2"/>
      <c r="BR347" s="2"/>
      <c r="BS347" s="2"/>
      <c r="BT347" s="2"/>
      <c r="BU347" s="2"/>
    </row>
    <row r="348" spans="68:73" x14ac:dyDescent="0.25">
      <c r="BP348" s="2"/>
      <c r="BQ348" s="2"/>
      <c r="BR348" s="2"/>
      <c r="BS348" s="2"/>
      <c r="BT348" s="2"/>
      <c r="BU348" s="2"/>
    </row>
    <row r="349" spans="68:73" x14ac:dyDescent="0.25">
      <c r="BP349" s="2"/>
      <c r="BQ349" s="2"/>
      <c r="BR349" s="2"/>
      <c r="BS349" s="2"/>
      <c r="BT349" s="2"/>
      <c r="BU349" s="2"/>
    </row>
    <row r="350" spans="68:73" x14ac:dyDescent="0.25">
      <c r="BP350" s="2"/>
      <c r="BQ350" s="2"/>
      <c r="BR350" s="2"/>
      <c r="BS350" s="2"/>
      <c r="BT350" s="2"/>
      <c r="BU350" s="2"/>
    </row>
    <row r="351" spans="68:73" x14ac:dyDescent="0.25">
      <c r="BP351" s="2"/>
      <c r="BQ351" s="2"/>
      <c r="BR351" s="2"/>
      <c r="BS351" s="2"/>
      <c r="BT351" s="2"/>
      <c r="BU351" s="2"/>
    </row>
    <row r="352" spans="68:73" x14ac:dyDescent="0.25">
      <c r="BP352" s="2"/>
      <c r="BQ352" s="2"/>
      <c r="BR352" s="2"/>
      <c r="BS352" s="2"/>
      <c r="BT352" s="2"/>
      <c r="BU352" s="2"/>
    </row>
    <row r="353" spans="68:73" x14ac:dyDescent="0.25">
      <c r="BP353" s="2"/>
      <c r="BQ353" s="2"/>
      <c r="BR353" s="2"/>
      <c r="BS353" s="2"/>
      <c r="BT353" s="2"/>
      <c r="BU353" s="2"/>
    </row>
    <row r="354" spans="68:73" x14ac:dyDescent="0.25">
      <c r="BP354" s="2"/>
      <c r="BQ354" s="2"/>
      <c r="BR354" s="2"/>
      <c r="BS354" s="2"/>
      <c r="BT354" s="2"/>
      <c r="BU354" s="2"/>
    </row>
    <row r="355" spans="68:73" x14ac:dyDescent="0.25">
      <c r="BP355" s="2"/>
      <c r="BQ355" s="2"/>
      <c r="BR355" s="2"/>
      <c r="BS355" s="2"/>
      <c r="BT355" s="2"/>
      <c r="BU355" s="2"/>
    </row>
    <row r="356" spans="68:73" x14ac:dyDescent="0.25">
      <c r="BP356" s="2"/>
      <c r="BQ356" s="2"/>
      <c r="BR356" s="2"/>
      <c r="BS356" s="2"/>
      <c r="BT356" s="2"/>
      <c r="BU356" s="2"/>
    </row>
    <row r="357" spans="68:73" x14ac:dyDescent="0.25">
      <c r="BP357" s="2"/>
      <c r="BQ357" s="2"/>
      <c r="BR357" s="2"/>
      <c r="BS357" s="2"/>
      <c r="BT357" s="2"/>
      <c r="BU357" s="2"/>
    </row>
    <row r="358" spans="68:73" x14ac:dyDescent="0.25">
      <c r="BP358" s="2"/>
      <c r="BQ358" s="2"/>
      <c r="BR358" s="2"/>
      <c r="BS358" s="2"/>
      <c r="BT358" s="2"/>
      <c r="BU358" s="2"/>
    </row>
    <row r="359" spans="68:73" x14ac:dyDescent="0.25">
      <c r="BP359" s="2"/>
      <c r="BQ359" s="2"/>
      <c r="BR359" s="2"/>
      <c r="BS359" s="2"/>
      <c r="BT359" s="2"/>
      <c r="BU359" s="2"/>
    </row>
    <row r="360" spans="68:73" x14ac:dyDescent="0.25">
      <c r="BP360" s="2"/>
      <c r="BQ360" s="2"/>
      <c r="BR360" s="2"/>
      <c r="BS360" s="2"/>
      <c r="BT360" s="2"/>
      <c r="BU360" s="2"/>
    </row>
    <row r="361" spans="68:73" x14ac:dyDescent="0.25">
      <c r="BP361" s="2"/>
      <c r="BQ361" s="2"/>
      <c r="BR361" s="2"/>
      <c r="BS361" s="2"/>
      <c r="BT361" s="2"/>
      <c r="BU361" s="2"/>
    </row>
    <row r="362" spans="68:73" x14ac:dyDescent="0.25">
      <c r="BP362" s="2"/>
      <c r="BQ362" s="2"/>
      <c r="BR362" s="2"/>
      <c r="BS362" s="2"/>
      <c r="BT362" s="2"/>
      <c r="BU362" s="2"/>
    </row>
    <row r="363" spans="68:73" x14ac:dyDescent="0.25">
      <c r="BP363" s="2"/>
      <c r="BQ363" s="2"/>
      <c r="BR363" s="2"/>
      <c r="BS363" s="2"/>
      <c r="BT363" s="2"/>
      <c r="BU363" s="2"/>
    </row>
    <row r="364" spans="68:73" x14ac:dyDescent="0.25">
      <c r="BP364" s="2"/>
      <c r="BQ364" s="2"/>
      <c r="BR364" s="2"/>
      <c r="BS364" s="2"/>
      <c r="BT364" s="2"/>
      <c r="BU364" s="2"/>
    </row>
    <row r="365" spans="68:73" x14ac:dyDescent="0.25">
      <c r="BP365" s="2"/>
      <c r="BQ365" s="2"/>
      <c r="BR365" s="2"/>
      <c r="BS365" s="2"/>
      <c r="BT365" s="2"/>
      <c r="BU365" s="2"/>
    </row>
    <row r="366" spans="68:73" x14ac:dyDescent="0.25">
      <c r="BP366" s="2"/>
      <c r="BQ366" s="2"/>
      <c r="BR366" s="2"/>
      <c r="BS366" s="2"/>
      <c r="BT366" s="2"/>
      <c r="BU366" s="2"/>
    </row>
    <row r="367" spans="68:73" x14ac:dyDescent="0.25">
      <c r="BP367" s="2"/>
      <c r="BQ367" s="2"/>
      <c r="BR367" s="2"/>
      <c r="BS367" s="2"/>
      <c r="BT367" s="2"/>
      <c r="BU367" s="2"/>
    </row>
    <row r="368" spans="68:73" x14ac:dyDescent="0.25">
      <c r="BP368" s="2"/>
      <c r="BQ368" s="2"/>
      <c r="BR368" s="2"/>
      <c r="BS368" s="2"/>
      <c r="BT368" s="2"/>
      <c r="BU368" s="2"/>
    </row>
    <row r="369" spans="68:73" x14ac:dyDescent="0.25">
      <c r="BP369" s="2"/>
      <c r="BQ369" s="2"/>
      <c r="BR369" s="2"/>
      <c r="BS369" s="2"/>
      <c r="BT369" s="2"/>
      <c r="BU369" s="2"/>
    </row>
    <row r="370" spans="68:73" x14ac:dyDescent="0.25">
      <c r="BP370" s="2"/>
      <c r="BQ370" s="2"/>
      <c r="BR370" s="2"/>
      <c r="BS370" s="2"/>
      <c r="BT370" s="2"/>
      <c r="BU370" s="2"/>
    </row>
    <row r="371" spans="68:73" x14ac:dyDescent="0.25">
      <c r="BP371" s="2"/>
      <c r="BQ371" s="2"/>
      <c r="BR371" s="2"/>
      <c r="BS371" s="2"/>
      <c r="BT371" s="2"/>
      <c r="BU371" s="2"/>
    </row>
    <row r="372" spans="68:73" x14ac:dyDescent="0.25">
      <c r="BP372" s="2"/>
      <c r="BQ372" s="2"/>
      <c r="BR372" s="2"/>
      <c r="BS372" s="2"/>
      <c r="BT372" s="2"/>
      <c r="BU372" s="2"/>
    </row>
    <row r="373" spans="68:73" x14ac:dyDescent="0.25">
      <c r="BP373" s="2"/>
      <c r="BQ373" s="2"/>
      <c r="BR373" s="2"/>
      <c r="BS373" s="2"/>
      <c r="BT373" s="2"/>
      <c r="BU373" s="2"/>
    </row>
    <row r="374" spans="68:73" x14ac:dyDescent="0.25">
      <c r="BP374" s="2"/>
      <c r="BQ374" s="2"/>
      <c r="BR374" s="2"/>
      <c r="BS374" s="2"/>
      <c r="BT374" s="2"/>
      <c r="BU374" s="2"/>
    </row>
    <row r="375" spans="68:73" x14ac:dyDescent="0.25">
      <c r="BP375" s="2"/>
      <c r="BQ375" s="2"/>
      <c r="BR375" s="2"/>
      <c r="BS375" s="2"/>
      <c r="BT375" s="2"/>
      <c r="BU375" s="2"/>
    </row>
    <row r="376" spans="68:73" x14ac:dyDescent="0.25">
      <c r="BP376" s="2"/>
      <c r="BQ376" s="2"/>
      <c r="BR376" s="2"/>
      <c r="BS376" s="2"/>
      <c r="BT376" s="2"/>
      <c r="BU376" s="2"/>
    </row>
    <row r="377" spans="68:73" x14ac:dyDescent="0.25">
      <c r="BP377" s="2"/>
      <c r="BQ377" s="2"/>
      <c r="BR377" s="2"/>
      <c r="BS377" s="2"/>
      <c r="BT377" s="2"/>
      <c r="BU377" s="2"/>
    </row>
    <row r="378" spans="68:73" x14ac:dyDescent="0.25">
      <c r="BP378" s="2"/>
      <c r="BQ378" s="2"/>
      <c r="BR378" s="2"/>
      <c r="BS378" s="2"/>
      <c r="BT378" s="2"/>
      <c r="BU378" s="2"/>
    </row>
    <row r="379" spans="68:73" x14ac:dyDescent="0.25">
      <c r="BP379" s="2"/>
      <c r="BQ379" s="2"/>
      <c r="BR379" s="2"/>
      <c r="BS379" s="2"/>
      <c r="BT379" s="2"/>
      <c r="BU379" s="2"/>
    </row>
    <row r="380" spans="68:73" x14ac:dyDescent="0.25">
      <c r="BP380" s="2"/>
      <c r="BQ380" s="2"/>
      <c r="BR380" s="2"/>
      <c r="BS380" s="2"/>
      <c r="BT380" s="2"/>
      <c r="BU380" s="2"/>
    </row>
    <row r="381" spans="68:73" x14ac:dyDescent="0.25">
      <c r="BP381" s="2"/>
      <c r="BQ381" s="2"/>
      <c r="BR381" s="2"/>
      <c r="BS381" s="2"/>
      <c r="BT381" s="2"/>
      <c r="BU381" s="2"/>
    </row>
    <row r="382" spans="68:73" x14ac:dyDescent="0.25">
      <c r="BP382" s="2"/>
      <c r="BQ382" s="2"/>
      <c r="BR382" s="2"/>
      <c r="BS382" s="2"/>
      <c r="BT382" s="2"/>
      <c r="BU382" s="2"/>
    </row>
    <row r="383" spans="68:73" x14ac:dyDescent="0.25">
      <c r="BP383" s="2"/>
      <c r="BQ383" s="2"/>
      <c r="BR383" s="2"/>
      <c r="BS383" s="2"/>
      <c r="BT383" s="2"/>
      <c r="BU383" s="2"/>
    </row>
    <row r="384" spans="68:73" x14ac:dyDescent="0.25">
      <c r="BP384" s="2"/>
      <c r="BQ384" s="2"/>
      <c r="BR384" s="2"/>
      <c r="BS384" s="2"/>
      <c r="BT384" s="2"/>
      <c r="BU384" s="2"/>
    </row>
    <row r="385" spans="68:73" x14ac:dyDescent="0.25">
      <c r="BP385" s="2"/>
      <c r="BQ385" s="2"/>
      <c r="BR385" s="2"/>
      <c r="BS385" s="2"/>
      <c r="BT385" s="2"/>
      <c r="BU385" s="2"/>
    </row>
    <row r="386" spans="68:73" x14ac:dyDescent="0.25">
      <c r="BP386" s="2"/>
      <c r="BQ386" s="2"/>
      <c r="BR386" s="2"/>
      <c r="BS386" s="2"/>
      <c r="BT386" s="2"/>
      <c r="BU386" s="2"/>
    </row>
    <row r="387" spans="68:73" x14ac:dyDescent="0.25">
      <c r="BP387" s="2"/>
      <c r="BQ387" s="2"/>
      <c r="BR387" s="2"/>
      <c r="BS387" s="2"/>
      <c r="BT387" s="2"/>
      <c r="BU387" s="2"/>
    </row>
    <row r="388" spans="68:73" x14ac:dyDescent="0.25">
      <c r="BP388" s="2"/>
      <c r="BQ388" s="2"/>
      <c r="BR388" s="2"/>
      <c r="BS388" s="2"/>
      <c r="BT388" s="2"/>
      <c r="BU388" s="2"/>
    </row>
    <row r="389" spans="68:73" x14ac:dyDescent="0.25">
      <c r="BP389" s="2"/>
      <c r="BQ389" s="2"/>
      <c r="BR389" s="2"/>
      <c r="BS389" s="2"/>
      <c r="BT389" s="2"/>
      <c r="BU389" s="2"/>
    </row>
    <row r="390" spans="68:73" x14ac:dyDescent="0.25">
      <c r="BP390" s="2"/>
      <c r="BQ390" s="2"/>
      <c r="BR390" s="2"/>
      <c r="BS390" s="2"/>
      <c r="BT390" s="2"/>
      <c r="BU390" s="2"/>
    </row>
    <row r="391" spans="68:73" x14ac:dyDescent="0.25">
      <c r="BP391" s="2"/>
      <c r="BQ391" s="2"/>
      <c r="BR391" s="2"/>
      <c r="BS391" s="2"/>
      <c r="BT391" s="2"/>
      <c r="BU391" s="2"/>
    </row>
    <row r="392" spans="68:73" x14ac:dyDescent="0.25">
      <c r="BP392" s="2"/>
      <c r="BQ392" s="2"/>
      <c r="BR392" s="2"/>
      <c r="BS392" s="2"/>
      <c r="BT392" s="2"/>
      <c r="BU392" s="2"/>
    </row>
    <row r="393" spans="68:73" x14ac:dyDescent="0.25">
      <c r="BP393" s="2"/>
      <c r="BQ393" s="2"/>
      <c r="BR393" s="2"/>
      <c r="BS393" s="2"/>
      <c r="BT393" s="2"/>
      <c r="BU393" s="2"/>
    </row>
    <row r="394" spans="68:73" x14ac:dyDescent="0.25">
      <c r="BP394" s="2"/>
      <c r="BQ394" s="2"/>
      <c r="BR394" s="2"/>
      <c r="BS394" s="2"/>
      <c r="BT394" s="2"/>
      <c r="BU394" s="2"/>
    </row>
    <row r="395" spans="68:73" x14ac:dyDescent="0.25">
      <c r="BP395" s="2"/>
      <c r="BQ395" s="2"/>
      <c r="BR395" s="2"/>
      <c r="BS395" s="2"/>
      <c r="BT395" s="2"/>
      <c r="BU395" s="2"/>
    </row>
    <row r="396" spans="68:73" x14ac:dyDescent="0.25">
      <c r="BP396" s="2"/>
      <c r="BQ396" s="2"/>
      <c r="BR396" s="2"/>
      <c r="BS396" s="2"/>
      <c r="BT396" s="2"/>
      <c r="BU396" s="2"/>
    </row>
    <row r="397" spans="68:73" x14ac:dyDescent="0.25">
      <c r="BP397" s="2"/>
      <c r="BQ397" s="2"/>
      <c r="BR397" s="2"/>
      <c r="BS397" s="2"/>
      <c r="BT397" s="2"/>
      <c r="BU397" s="2"/>
    </row>
    <row r="398" spans="68:73" x14ac:dyDescent="0.25">
      <c r="BP398" s="2"/>
      <c r="BQ398" s="2"/>
      <c r="BR398" s="2"/>
      <c r="BS398" s="2"/>
      <c r="BT398" s="2"/>
      <c r="BU398" s="2"/>
    </row>
    <row r="399" spans="68:73" x14ac:dyDescent="0.25">
      <c r="BP399" s="2"/>
      <c r="BQ399" s="2"/>
      <c r="BR399" s="2"/>
      <c r="BS399" s="2"/>
      <c r="BT399" s="2"/>
      <c r="BU399" s="2"/>
    </row>
    <row r="400" spans="68:73" x14ac:dyDescent="0.25">
      <c r="BP400" s="2"/>
      <c r="BQ400" s="2"/>
      <c r="BR400" s="2"/>
      <c r="BS400" s="2"/>
      <c r="BT400" s="2"/>
      <c r="BU400" s="2"/>
    </row>
    <row r="401" spans="68:73" x14ac:dyDescent="0.25">
      <c r="BP401" s="2"/>
      <c r="BQ401" s="2"/>
      <c r="BR401" s="2"/>
      <c r="BS401" s="2"/>
      <c r="BT401" s="2"/>
      <c r="BU401" s="2"/>
    </row>
    <row r="402" spans="68:73" x14ac:dyDescent="0.25">
      <c r="BP402" s="2"/>
      <c r="BQ402" s="2"/>
      <c r="BR402" s="2"/>
      <c r="BS402" s="2"/>
      <c r="BT402" s="2"/>
      <c r="BU402" s="2"/>
    </row>
    <row r="403" spans="68:73" x14ac:dyDescent="0.25">
      <c r="BP403" s="2"/>
      <c r="BQ403" s="2"/>
      <c r="BR403" s="2"/>
      <c r="BS403" s="2"/>
      <c r="BT403" s="2"/>
      <c r="BU403" s="2"/>
    </row>
    <row r="404" spans="68:73" x14ac:dyDescent="0.25">
      <c r="BP404" s="2"/>
      <c r="BQ404" s="2"/>
      <c r="BR404" s="2"/>
      <c r="BS404" s="2"/>
      <c r="BT404" s="2"/>
      <c r="BU404" s="2"/>
    </row>
    <row r="405" spans="68:73" x14ac:dyDescent="0.25">
      <c r="BP405" s="2"/>
      <c r="BQ405" s="2"/>
      <c r="BR405" s="2"/>
      <c r="BS405" s="2"/>
      <c r="BT405" s="2"/>
      <c r="BU405" s="2"/>
    </row>
    <row r="406" spans="68:73" x14ac:dyDescent="0.25">
      <c r="BP406" s="2"/>
      <c r="BQ406" s="2"/>
      <c r="BR406" s="2"/>
      <c r="BS406" s="2"/>
      <c r="BT406" s="2"/>
      <c r="BU406" s="2"/>
    </row>
    <row r="407" spans="68:73" x14ac:dyDescent="0.25">
      <c r="BP407" s="2"/>
      <c r="BQ407" s="2"/>
      <c r="BR407" s="2"/>
      <c r="BS407" s="2"/>
      <c r="BT407" s="2"/>
      <c r="BU407" s="2"/>
    </row>
    <row r="408" spans="68:73" x14ac:dyDescent="0.25">
      <c r="BP408" s="2"/>
      <c r="BQ408" s="2"/>
      <c r="BR408" s="2"/>
      <c r="BS408" s="2"/>
      <c r="BT408" s="2"/>
      <c r="BU408" s="2"/>
    </row>
    <row r="409" spans="68:73" x14ac:dyDescent="0.25">
      <c r="BP409" s="2"/>
      <c r="BQ409" s="2"/>
      <c r="BR409" s="2"/>
      <c r="BS409" s="2"/>
      <c r="BT409" s="2"/>
      <c r="BU409" s="2"/>
    </row>
    <row r="410" spans="68:73" x14ac:dyDescent="0.25">
      <c r="BP410" s="2"/>
      <c r="BQ410" s="2"/>
      <c r="BR410" s="2"/>
      <c r="BS410" s="2"/>
      <c r="BT410" s="2"/>
      <c r="BU410" s="2"/>
    </row>
    <row r="411" spans="68:73" x14ac:dyDescent="0.25">
      <c r="BP411" s="2"/>
      <c r="BQ411" s="2"/>
      <c r="BR411" s="2"/>
      <c r="BS411" s="2"/>
      <c r="BT411" s="2"/>
      <c r="BU411" s="2"/>
    </row>
    <row r="412" spans="68:73" x14ac:dyDescent="0.25">
      <c r="BP412" s="2"/>
      <c r="BQ412" s="2"/>
      <c r="BR412" s="2"/>
      <c r="BS412" s="2"/>
      <c r="BT412" s="2"/>
      <c r="BU412" s="2"/>
    </row>
    <row r="413" spans="68:73" x14ac:dyDescent="0.25">
      <c r="BP413" s="2"/>
      <c r="BQ413" s="2"/>
      <c r="BR413" s="2"/>
      <c r="BS413" s="2"/>
      <c r="BT413" s="2"/>
      <c r="BU413" s="2"/>
    </row>
    <row r="414" spans="68:73" x14ac:dyDescent="0.25">
      <c r="BP414" s="2"/>
      <c r="BQ414" s="2"/>
      <c r="BR414" s="2"/>
      <c r="BS414" s="2"/>
      <c r="BT414" s="2"/>
      <c r="BU414" s="2"/>
    </row>
    <row r="415" spans="68:73" x14ac:dyDescent="0.25">
      <c r="BP415" s="2"/>
      <c r="BQ415" s="2"/>
      <c r="BR415" s="2"/>
      <c r="BS415" s="2"/>
      <c r="BT415" s="2"/>
      <c r="BU415" s="2"/>
    </row>
    <row r="416" spans="68:73" x14ac:dyDescent="0.25">
      <c r="BP416" s="2"/>
      <c r="BQ416" s="2"/>
      <c r="BR416" s="2"/>
      <c r="BS416" s="2"/>
      <c r="BT416" s="2"/>
      <c r="BU416" s="2"/>
    </row>
    <row r="417" spans="68:73" x14ac:dyDescent="0.25">
      <c r="BP417" s="2"/>
      <c r="BQ417" s="2"/>
      <c r="BR417" s="2"/>
      <c r="BS417" s="2"/>
      <c r="BT417" s="2"/>
      <c r="BU417" s="2"/>
    </row>
    <row r="418" spans="68:73" x14ac:dyDescent="0.25">
      <c r="BP418" s="2"/>
      <c r="BQ418" s="2"/>
      <c r="BR418" s="2"/>
      <c r="BS418" s="2"/>
      <c r="BT418" s="2"/>
      <c r="BU418" s="2"/>
    </row>
    <row r="419" spans="68:73" x14ac:dyDescent="0.25">
      <c r="BP419" s="2"/>
      <c r="BQ419" s="2"/>
      <c r="BR419" s="2"/>
      <c r="BS419" s="2"/>
      <c r="BT419" s="2"/>
      <c r="BU419" s="2"/>
    </row>
    <row r="420" spans="68:73" x14ac:dyDescent="0.25">
      <c r="BP420" s="2"/>
      <c r="BQ420" s="2"/>
      <c r="BR420" s="2"/>
      <c r="BS420" s="2"/>
      <c r="BT420" s="2"/>
      <c r="BU420" s="2"/>
    </row>
    <row r="421" spans="68:73" x14ac:dyDescent="0.25">
      <c r="BP421" s="2"/>
      <c r="BQ421" s="2"/>
      <c r="BR421" s="2"/>
      <c r="BS421" s="2"/>
      <c r="BT421" s="2"/>
      <c r="BU421" s="2"/>
    </row>
    <row r="422" spans="68:73" x14ac:dyDescent="0.25">
      <c r="BP422" s="2"/>
      <c r="BQ422" s="2"/>
      <c r="BR422" s="2"/>
      <c r="BS422" s="2"/>
      <c r="BT422" s="2"/>
      <c r="BU422" s="2"/>
    </row>
    <row r="423" spans="68:73" x14ac:dyDescent="0.25">
      <c r="BP423" s="2"/>
      <c r="BQ423" s="2"/>
      <c r="BR423" s="2"/>
      <c r="BS423" s="2"/>
      <c r="BT423" s="2"/>
      <c r="BU423" s="2"/>
    </row>
    <row r="424" spans="68:73" x14ac:dyDescent="0.25">
      <c r="BP424" s="2"/>
      <c r="BQ424" s="2"/>
      <c r="BR424" s="2"/>
      <c r="BS424" s="2"/>
      <c r="BT424" s="2"/>
      <c r="BU424" s="2"/>
    </row>
    <row r="425" spans="68:73" x14ac:dyDescent="0.25">
      <c r="BP425" s="2"/>
      <c r="BQ425" s="2"/>
      <c r="BR425" s="2"/>
      <c r="BS425" s="2"/>
      <c r="BT425" s="2"/>
      <c r="BU425" s="2"/>
    </row>
    <row r="426" spans="68:73" x14ac:dyDescent="0.25">
      <c r="BP426" s="2"/>
      <c r="BQ426" s="2"/>
      <c r="BR426" s="2"/>
      <c r="BS426" s="2"/>
      <c r="BT426" s="2"/>
      <c r="BU426" s="2"/>
    </row>
    <row r="427" spans="68:73" x14ac:dyDescent="0.25">
      <c r="BP427" s="2"/>
      <c r="BQ427" s="2"/>
      <c r="BR427" s="2"/>
      <c r="BS427" s="2"/>
      <c r="BT427" s="2"/>
      <c r="BU427" s="2"/>
    </row>
    <row r="428" spans="68:73" x14ac:dyDescent="0.25">
      <c r="BP428" s="2"/>
      <c r="BQ428" s="2"/>
      <c r="BR428" s="2"/>
      <c r="BS428" s="2"/>
      <c r="BT428" s="2"/>
      <c r="BU428" s="2"/>
    </row>
    <row r="429" spans="68:73" x14ac:dyDescent="0.25">
      <c r="BP429" s="2"/>
      <c r="BQ429" s="2"/>
      <c r="BR429" s="2"/>
      <c r="BS429" s="2"/>
      <c r="BT429" s="2"/>
      <c r="BU429" s="2"/>
    </row>
    <row r="430" spans="68:73" x14ac:dyDescent="0.25">
      <c r="BP430" s="2"/>
      <c r="BQ430" s="2"/>
      <c r="BR430" s="2"/>
      <c r="BS430" s="2"/>
      <c r="BT430" s="2"/>
      <c r="BU430" s="2"/>
    </row>
    <row r="431" spans="68:73" x14ac:dyDescent="0.25">
      <c r="BP431" s="2"/>
      <c r="BQ431" s="2"/>
      <c r="BR431" s="2"/>
      <c r="BS431" s="2"/>
      <c r="BT431" s="2"/>
      <c r="BU431" s="2"/>
    </row>
    <row r="432" spans="68:73" x14ac:dyDescent="0.25">
      <c r="BP432" s="2"/>
      <c r="BQ432" s="2"/>
      <c r="BR432" s="2"/>
      <c r="BS432" s="2"/>
      <c r="BT432" s="2"/>
      <c r="BU432" s="2"/>
    </row>
    <row r="433" spans="68:73" x14ac:dyDescent="0.25">
      <c r="BP433" s="2"/>
      <c r="BQ433" s="2"/>
      <c r="BR433" s="2"/>
      <c r="BS433" s="2"/>
      <c r="BT433" s="2"/>
      <c r="BU433" s="2"/>
    </row>
    <row r="434" spans="68:73" x14ac:dyDescent="0.25">
      <c r="BP434" s="2"/>
      <c r="BQ434" s="2"/>
      <c r="BR434" s="2"/>
      <c r="BS434" s="2"/>
      <c r="BT434" s="2"/>
      <c r="BU434" s="2"/>
    </row>
    <row r="435" spans="68:73" x14ac:dyDescent="0.25">
      <c r="BP435" s="2"/>
      <c r="BQ435" s="2"/>
      <c r="BR435" s="2"/>
      <c r="BS435" s="2"/>
      <c r="BT435" s="2"/>
      <c r="BU435" s="2"/>
    </row>
    <row r="436" spans="68:73" x14ac:dyDescent="0.25">
      <c r="BP436" s="2"/>
      <c r="BQ436" s="2"/>
      <c r="BR436" s="2"/>
      <c r="BS436" s="2"/>
      <c r="BT436" s="2"/>
      <c r="BU436" s="2"/>
    </row>
    <row r="437" spans="68:73" x14ac:dyDescent="0.25">
      <c r="BP437" s="2"/>
      <c r="BQ437" s="2"/>
      <c r="BR437" s="2"/>
      <c r="BS437" s="2"/>
      <c r="BT437" s="2"/>
      <c r="BU437" s="2"/>
    </row>
    <row r="438" spans="68:73" x14ac:dyDescent="0.25">
      <c r="BP438" s="2"/>
      <c r="BQ438" s="2"/>
      <c r="BR438" s="2"/>
      <c r="BS438" s="2"/>
      <c r="BT438" s="2"/>
      <c r="BU438" s="2"/>
    </row>
    <row r="439" spans="68:73" x14ac:dyDescent="0.25">
      <c r="BP439" s="2"/>
      <c r="BQ439" s="2"/>
      <c r="BR439" s="2"/>
      <c r="BS439" s="2"/>
      <c r="BT439" s="2"/>
      <c r="BU439" s="2"/>
    </row>
    <row r="440" spans="68:73" x14ac:dyDescent="0.25">
      <c r="BP440" s="2"/>
      <c r="BQ440" s="2"/>
      <c r="BR440" s="2"/>
      <c r="BS440" s="2"/>
      <c r="BT440" s="2"/>
      <c r="BU440" s="2"/>
    </row>
    <row r="441" spans="68:73" x14ac:dyDescent="0.25">
      <c r="BP441" s="2"/>
      <c r="BQ441" s="2"/>
      <c r="BR441" s="2"/>
      <c r="BS441" s="2"/>
      <c r="BT441" s="2"/>
      <c r="BU441" s="2"/>
    </row>
    <row r="442" spans="68:73" x14ac:dyDescent="0.25">
      <c r="BP442" s="2"/>
      <c r="BQ442" s="2"/>
      <c r="BR442" s="2"/>
      <c r="BS442" s="2"/>
      <c r="BT442" s="2"/>
      <c r="BU442" s="2"/>
    </row>
    <row r="443" spans="68:73" x14ac:dyDescent="0.25">
      <c r="BP443" s="2"/>
      <c r="BQ443" s="2"/>
      <c r="BR443" s="2"/>
      <c r="BS443" s="2"/>
      <c r="BT443" s="2"/>
      <c r="BU443" s="2"/>
    </row>
    <row r="444" spans="68:73" x14ac:dyDescent="0.25">
      <c r="BP444" s="2"/>
      <c r="BQ444" s="2"/>
      <c r="BR444" s="2"/>
      <c r="BS444" s="2"/>
      <c r="BT444" s="2"/>
      <c r="BU444" s="2"/>
    </row>
    <row r="445" spans="68:73" x14ac:dyDescent="0.25">
      <c r="BP445" s="2"/>
      <c r="BQ445" s="2"/>
      <c r="BR445" s="2"/>
      <c r="BS445" s="2"/>
      <c r="BT445" s="2"/>
      <c r="BU445" s="2"/>
    </row>
    <row r="446" spans="68:73" x14ac:dyDescent="0.25">
      <c r="BP446" s="2"/>
      <c r="BQ446" s="2"/>
      <c r="BR446" s="2"/>
      <c r="BS446" s="2"/>
      <c r="BT446" s="2"/>
      <c r="BU446" s="2"/>
    </row>
    <row r="447" spans="68:73" x14ac:dyDescent="0.25">
      <c r="BP447" s="2"/>
      <c r="BQ447" s="2"/>
      <c r="BR447" s="2"/>
      <c r="BS447" s="2"/>
      <c r="BT447" s="2"/>
      <c r="BU447" s="2"/>
    </row>
    <row r="448" spans="68:73" x14ac:dyDescent="0.25">
      <c r="BP448" s="2"/>
      <c r="BQ448" s="2"/>
      <c r="BR448" s="2"/>
      <c r="BS448" s="2"/>
      <c r="BT448" s="2"/>
      <c r="BU448" s="2"/>
    </row>
    <row r="449" spans="68:73" x14ac:dyDescent="0.25">
      <c r="BP449" s="2"/>
      <c r="BQ449" s="2"/>
      <c r="BR449" s="2"/>
      <c r="BS449" s="2"/>
      <c r="BT449" s="2"/>
      <c r="BU449" s="2"/>
    </row>
    <row r="450" spans="68:73" x14ac:dyDescent="0.25">
      <c r="BP450" s="2"/>
      <c r="BQ450" s="2"/>
      <c r="BR450" s="2"/>
      <c r="BS450" s="2"/>
      <c r="BT450" s="2"/>
      <c r="BU450" s="2"/>
    </row>
    <row r="451" spans="68:73" x14ac:dyDescent="0.25">
      <c r="BP451" s="2"/>
      <c r="BQ451" s="2"/>
      <c r="BR451" s="2"/>
      <c r="BS451" s="2"/>
      <c r="BT451" s="2"/>
      <c r="BU451" s="2"/>
    </row>
    <row r="452" spans="68:73" x14ac:dyDescent="0.25">
      <c r="BP452" s="2"/>
      <c r="BQ452" s="2"/>
      <c r="BR452" s="2"/>
      <c r="BS452" s="2"/>
      <c r="BT452" s="2"/>
      <c r="BU452" s="2"/>
    </row>
    <row r="453" spans="68:73" x14ac:dyDescent="0.25">
      <c r="BP453" s="2"/>
      <c r="BQ453" s="2"/>
      <c r="BR453" s="2"/>
      <c r="BS453" s="2"/>
      <c r="BT453" s="2"/>
      <c r="BU453" s="2"/>
    </row>
    <row r="454" spans="68:73" x14ac:dyDescent="0.25">
      <c r="BP454" s="2"/>
      <c r="BQ454" s="2"/>
      <c r="BR454" s="2"/>
      <c r="BS454" s="2"/>
      <c r="BT454" s="2"/>
      <c r="BU454" s="2"/>
    </row>
    <row r="455" spans="68:73" x14ac:dyDescent="0.25">
      <c r="BP455" s="2"/>
      <c r="BQ455" s="2"/>
      <c r="BR455" s="2"/>
      <c r="BS455" s="2"/>
      <c r="BT455" s="2"/>
      <c r="BU455" s="2"/>
    </row>
    <row r="456" spans="68:73" x14ac:dyDescent="0.25">
      <c r="BP456" s="2"/>
      <c r="BQ456" s="2"/>
      <c r="BR456" s="2"/>
      <c r="BS456" s="2"/>
      <c r="BT456" s="2"/>
      <c r="BU456" s="2"/>
    </row>
    <row r="457" spans="68:73" x14ac:dyDescent="0.25">
      <c r="BP457" s="2"/>
      <c r="BQ457" s="2"/>
      <c r="BR457" s="2"/>
      <c r="BS457" s="2"/>
      <c r="BT457" s="2"/>
      <c r="BU457" s="2"/>
    </row>
    <row r="458" spans="68:73" x14ac:dyDescent="0.25">
      <c r="BP458" s="2"/>
      <c r="BQ458" s="2"/>
      <c r="BR458" s="2"/>
      <c r="BS458" s="2"/>
      <c r="BT458" s="2"/>
      <c r="BU458" s="2"/>
    </row>
    <row r="459" spans="68:73" x14ac:dyDescent="0.25">
      <c r="BP459" s="2"/>
      <c r="BQ459" s="2"/>
      <c r="BR459" s="2"/>
      <c r="BS459" s="2"/>
      <c r="BT459" s="2"/>
      <c r="BU459" s="2"/>
    </row>
    <row r="460" spans="68:73" x14ac:dyDescent="0.25">
      <c r="BP460" s="2"/>
      <c r="BQ460" s="2"/>
      <c r="BR460" s="2"/>
      <c r="BS460" s="2"/>
      <c r="BT460" s="2"/>
      <c r="BU460" s="2"/>
    </row>
    <row r="461" spans="68:73" x14ac:dyDescent="0.25">
      <c r="BP461" s="2"/>
      <c r="BQ461" s="2"/>
      <c r="BR461" s="2"/>
      <c r="BS461" s="2"/>
      <c r="BT461" s="2"/>
      <c r="BU461" s="2"/>
    </row>
    <row r="462" spans="68:73" x14ac:dyDescent="0.25">
      <c r="BP462" s="2"/>
      <c r="BQ462" s="2"/>
      <c r="BR462" s="2"/>
      <c r="BS462" s="2"/>
      <c r="BT462" s="2"/>
      <c r="BU462" s="2"/>
    </row>
    <row r="463" spans="68:73" x14ac:dyDescent="0.25">
      <c r="BP463" s="2"/>
      <c r="BQ463" s="2"/>
      <c r="BR463" s="2"/>
      <c r="BS463" s="2"/>
      <c r="BT463" s="2"/>
      <c r="BU463" s="2"/>
    </row>
    <row r="464" spans="68:73" x14ac:dyDescent="0.25">
      <c r="BP464" s="2"/>
      <c r="BQ464" s="2"/>
      <c r="BR464" s="2"/>
      <c r="BS464" s="2"/>
      <c r="BT464" s="2"/>
      <c r="BU464" s="2"/>
    </row>
    <row r="465" spans="68:73" x14ac:dyDescent="0.25">
      <c r="BP465" s="2"/>
      <c r="BQ465" s="2"/>
      <c r="BR465" s="2"/>
      <c r="BS465" s="2"/>
      <c r="BT465" s="2"/>
      <c r="BU465" s="2"/>
    </row>
    <row r="466" spans="68:73" x14ac:dyDescent="0.25">
      <c r="BP466" s="2"/>
      <c r="BQ466" s="2"/>
      <c r="BR466" s="2"/>
      <c r="BS466" s="2"/>
      <c r="BT466" s="2"/>
      <c r="BU466" s="2"/>
    </row>
    <row r="467" spans="68:73" x14ac:dyDescent="0.25">
      <c r="BP467" s="2"/>
      <c r="BQ467" s="2"/>
      <c r="BR467" s="2"/>
      <c r="BS467" s="2"/>
      <c r="BT467" s="2"/>
      <c r="BU467" s="2"/>
    </row>
    <row r="468" spans="68:73" x14ac:dyDescent="0.25">
      <c r="BP468" s="2"/>
      <c r="BQ468" s="2"/>
      <c r="BR468" s="2"/>
      <c r="BS468" s="2"/>
      <c r="BT468" s="2"/>
      <c r="BU468" s="2"/>
    </row>
    <row r="469" spans="68:73" x14ac:dyDescent="0.25">
      <c r="BP469" s="2"/>
      <c r="BQ469" s="2"/>
      <c r="BR469" s="2"/>
      <c r="BS469" s="2"/>
      <c r="BT469" s="2"/>
      <c r="BU469" s="2"/>
    </row>
    <row r="470" spans="68:73" x14ac:dyDescent="0.25">
      <c r="BP470" s="2"/>
      <c r="BQ470" s="2"/>
      <c r="BR470" s="2"/>
      <c r="BS470" s="2"/>
      <c r="BT470" s="2"/>
      <c r="BU470" s="2"/>
    </row>
    <row r="471" spans="68:73" x14ac:dyDescent="0.25">
      <c r="BP471" s="2"/>
      <c r="BQ471" s="2"/>
      <c r="BR471" s="2"/>
      <c r="BS471" s="2"/>
      <c r="BT471" s="2"/>
      <c r="BU471" s="2"/>
    </row>
    <row r="472" spans="68:73" x14ac:dyDescent="0.25">
      <c r="BP472" s="2"/>
      <c r="BQ472" s="2"/>
      <c r="BR472" s="2"/>
      <c r="BS472" s="2"/>
      <c r="BT472" s="2"/>
      <c r="BU472" s="2"/>
    </row>
    <row r="473" spans="68:73" x14ac:dyDescent="0.25">
      <c r="BP473" s="2"/>
      <c r="BQ473" s="2"/>
      <c r="BR473" s="2"/>
      <c r="BS473" s="2"/>
      <c r="BT473" s="2"/>
      <c r="BU473" s="2"/>
    </row>
    <row r="474" spans="68:73" x14ac:dyDescent="0.25">
      <c r="BP474" s="2"/>
      <c r="BQ474" s="2"/>
      <c r="BR474" s="2"/>
      <c r="BS474" s="2"/>
      <c r="BT474" s="2"/>
      <c r="BU474" s="2"/>
    </row>
    <row r="475" spans="68:73" x14ac:dyDescent="0.25">
      <c r="BP475" s="2"/>
      <c r="BQ475" s="2"/>
      <c r="BR475" s="2"/>
      <c r="BS475" s="2"/>
      <c r="BT475" s="2"/>
      <c r="BU475" s="2"/>
    </row>
    <row r="476" spans="68:73" x14ac:dyDescent="0.25">
      <c r="BP476" s="2"/>
      <c r="BQ476" s="2"/>
      <c r="BR476" s="2"/>
      <c r="BS476" s="2"/>
      <c r="BT476" s="2"/>
      <c r="BU476" s="2"/>
    </row>
    <row r="477" spans="68:73" x14ac:dyDescent="0.25">
      <c r="BP477" s="2"/>
      <c r="BQ477" s="2"/>
      <c r="BR477" s="2"/>
      <c r="BS477" s="2"/>
      <c r="BT477" s="2"/>
      <c r="BU477" s="2"/>
    </row>
    <row r="478" spans="68:73" x14ac:dyDescent="0.25">
      <c r="BP478" s="2"/>
      <c r="BQ478" s="2"/>
      <c r="BR478" s="2"/>
      <c r="BS478" s="2"/>
      <c r="BT478" s="2"/>
      <c r="BU478" s="2"/>
    </row>
    <row r="479" spans="68:73" x14ac:dyDescent="0.25">
      <c r="BP479" s="2"/>
      <c r="BQ479" s="2"/>
      <c r="BR479" s="2"/>
      <c r="BS479" s="2"/>
      <c r="BT479" s="2"/>
      <c r="BU479" s="2"/>
    </row>
    <row r="480" spans="68:73" x14ac:dyDescent="0.25">
      <c r="BP480" s="2"/>
      <c r="BQ480" s="2"/>
      <c r="BR480" s="2"/>
      <c r="BS480" s="2"/>
      <c r="BT480" s="2"/>
      <c r="BU480" s="2"/>
    </row>
    <row r="481" spans="68:73" x14ac:dyDescent="0.25">
      <c r="BP481" s="2"/>
      <c r="BQ481" s="2"/>
      <c r="BR481" s="2"/>
      <c r="BS481" s="2"/>
      <c r="BT481" s="2"/>
      <c r="BU481" s="2"/>
    </row>
    <row r="482" spans="68:73" x14ac:dyDescent="0.25">
      <c r="BP482" s="2"/>
      <c r="BQ482" s="2"/>
      <c r="BR482" s="2"/>
      <c r="BS482" s="2"/>
      <c r="BT482" s="2"/>
      <c r="BU482" s="2"/>
    </row>
    <row r="483" spans="68:73" x14ac:dyDescent="0.25">
      <c r="BP483" s="2"/>
      <c r="BQ483" s="2"/>
      <c r="BR483" s="2"/>
      <c r="BS483" s="2"/>
      <c r="BT483" s="2"/>
      <c r="BU483" s="2"/>
    </row>
    <row r="484" spans="68:73" x14ac:dyDescent="0.25">
      <c r="BP484" s="2"/>
      <c r="BQ484" s="2"/>
      <c r="BR484" s="2"/>
      <c r="BS484" s="2"/>
      <c r="BT484" s="2"/>
      <c r="BU484" s="2"/>
    </row>
    <row r="485" spans="68:73" x14ac:dyDescent="0.25">
      <c r="BP485" s="2"/>
      <c r="BQ485" s="2"/>
      <c r="BR485" s="2"/>
      <c r="BS485" s="2"/>
      <c r="BT485" s="2"/>
      <c r="BU485" s="2"/>
    </row>
    <row r="486" spans="68:73" x14ac:dyDescent="0.25">
      <c r="BP486" s="2"/>
      <c r="BQ486" s="2"/>
      <c r="BR486" s="2"/>
      <c r="BS486" s="2"/>
      <c r="BT486" s="2"/>
      <c r="BU486" s="2"/>
    </row>
    <row r="487" spans="68:73" x14ac:dyDescent="0.25">
      <c r="BP487" s="2"/>
      <c r="BQ487" s="2"/>
      <c r="BR487" s="2"/>
      <c r="BS487" s="2"/>
      <c r="BT487" s="2"/>
      <c r="BU487" s="2"/>
    </row>
    <row r="488" spans="68:73" x14ac:dyDescent="0.25">
      <c r="BP488" s="2"/>
      <c r="BQ488" s="2"/>
      <c r="BR488" s="2"/>
      <c r="BS488" s="2"/>
      <c r="BT488" s="2"/>
      <c r="BU488" s="2"/>
    </row>
    <row r="489" spans="68:73" x14ac:dyDescent="0.25">
      <c r="BP489" s="2"/>
      <c r="BQ489" s="2"/>
      <c r="BR489" s="2"/>
      <c r="BS489" s="2"/>
      <c r="BT489" s="2"/>
      <c r="BU489" s="2"/>
    </row>
    <row r="490" spans="68:73" x14ac:dyDescent="0.25">
      <c r="BP490" s="2"/>
      <c r="BQ490" s="2"/>
      <c r="BR490" s="2"/>
      <c r="BS490" s="2"/>
      <c r="BT490" s="2"/>
      <c r="BU490" s="2"/>
    </row>
    <row r="491" spans="68:73" x14ac:dyDescent="0.25">
      <c r="BP491" s="2"/>
      <c r="BQ491" s="2"/>
      <c r="BR491" s="2"/>
      <c r="BS491" s="2"/>
      <c r="BT491" s="2"/>
      <c r="BU491" s="2"/>
    </row>
    <row r="492" spans="68:73" x14ac:dyDescent="0.25">
      <c r="BP492" s="2"/>
      <c r="BQ492" s="2"/>
      <c r="BR492" s="2"/>
      <c r="BS492" s="2"/>
      <c r="BT492" s="2"/>
      <c r="BU492" s="2"/>
    </row>
    <row r="493" spans="68:73" x14ac:dyDescent="0.25">
      <c r="BP493" s="2"/>
      <c r="BQ493" s="2"/>
      <c r="BR493" s="2"/>
      <c r="BS493" s="2"/>
      <c r="BT493" s="2"/>
      <c r="BU493" s="2"/>
    </row>
    <row r="494" spans="68:73" x14ac:dyDescent="0.25">
      <c r="BP494" s="2"/>
      <c r="BQ494" s="2"/>
      <c r="BR494" s="2"/>
      <c r="BS494" s="2"/>
      <c r="BT494" s="2"/>
      <c r="BU494" s="2"/>
    </row>
    <row r="495" spans="68:73" x14ac:dyDescent="0.25">
      <c r="BP495" s="2"/>
      <c r="BQ495" s="2"/>
      <c r="BR495" s="2"/>
      <c r="BS495" s="2"/>
      <c r="BT495" s="2"/>
      <c r="BU495" s="2"/>
    </row>
    <row r="496" spans="68:73" x14ac:dyDescent="0.25">
      <c r="BP496" s="2"/>
      <c r="BQ496" s="2"/>
      <c r="BR496" s="2"/>
      <c r="BS496" s="2"/>
      <c r="BT496" s="2"/>
      <c r="BU496" s="2"/>
    </row>
    <row r="497" spans="68:73" x14ac:dyDescent="0.25">
      <c r="BP497" s="2"/>
      <c r="BQ497" s="2"/>
      <c r="BR497" s="2"/>
      <c r="BS497" s="2"/>
      <c r="BT497" s="2"/>
      <c r="BU497" s="2"/>
    </row>
    <row r="498" spans="68:73" x14ac:dyDescent="0.25">
      <c r="BP498" s="2"/>
      <c r="BQ498" s="2"/>
      <c r="BR498" s="2"/>
      <c r="BS498" s="2"/>
      <c r="BT498" s="2"/>
      <c r="BU498" s="2"/>
    </row>
    <row r="499" spans="68:73" x14ac:dyDescent="0.25">
      <c r="BP499" s="2"/>
      <c r="BQ499" s="2"/>
      <c r="BR499" s="2"/>
      <c r="BS499" s="2"/>
      <c r="BT499" s="2"/>
      <c r="BU499" s="2"/>
    </row>
    <row r="500" spans="68:73" x14ac:dyDescent="0.25">
      <c r="BP500" s="2"/>
      <c r="BQ500" s="2"/>
      <c r="BR500" s="2"/>
      <c r="BS500" s="2"/>
      <c r="BT500" s="2"/>
      <c r="BU500" s="2"/>
    </row>
    <row r="501" spans="68:73" x14ac:dyDescent="0.25">
      <c r="BP501" s="2"/>
      <c r="BQ501" s="2"/>
      <c r="BR501" s="2"/>
      <c r="BS501" s="2"/>
      <c r="BT501" s="2"/>
      <c r="BU501" s="2"/>
    </row>
    <row r="502" spans="68:73" x14ac:dyDescent="0.25">
      <c r="BP502" s="2"/>
      <c r="BQ502" s="2"/>
      <c r="BR502" s="2"/>
      <c r="BS502" s="2"/>
      <c r="BT502" s="2"/>
      <c r="BU502" s="2"/>
    </row>
    <row r="503" spans="68:73" x14ac:dyDescent="0.25">
      <c r="BP503" s="2"/>
      <c r="BQ503" s="2"/>
      <c r="BR503" s="2"/>
      <c r="BS503" s="2"/>
      <c r="BT503" s="2"/>
      <c r="BU503" s="2"/>
    </row>
    <row r="504" spans="68:73" x14ac:dyDescent="0.25">
      <c r="BP504" s="2"/>
      <c r="BQ504" s="2"/>
      <c r="BR504" s="2"/>
      <c r="BS504" s="2"/>
      <c r="BT504" s="2"/>
      <c r="BU504" s="2"/>
    </row>
    <row r="505" spans="68:73" x14ac:dyDescent="0.25">
      <c r="BP505" s="2"/>
      <c r="BQ505" s="2"/>
      <c r="BR505" s="2"/>
      <c r="BS505" s="2"/>
      <c r="BT505" s="2"/>
      <c r="BU505" s="2"/>
    </row>
    <row r="506" spans="68:73" x14ac:dyDescent="0.25">
      <c r="BP506" s="2"/>
      <c r="BQ506" s="2"/>
      <c r="BR506" s="2"/>
      <c r="BS506" s="2"/>
      <c r="BT506" s="2"/>
      <c r="BU506" s="2"/>
    </row>
    <row r="507" spans="68:73" x14ac:dyDescent="0.25">
      <c r="BP507" s="2"/>
      <c r="BQ507" s="2"/>
      <c r="BR507" s="2"/>
      <c r="BS507" s="2"/>
      <c r="BT507" s="2"/>
      <c r="BU507" s="2"/>
    </row>
    <row r="508" spans="68:73" x14ac:dyDescent="0.25">
      <c r="BP508" s="2"/>
      <c r="BQ508" s="2"/>
      <c r="BR508" s="2"/>
      <c r="BS508" s="2"/>
      <c r="BT508" s="2"/>
      <c r="BU508" s="2"/>
    </row>
    <row r="509" spans="68:73" x14ac:dyDescent="0.25">
      <c r="BP509" s="2"/>
      <c r="BQ509" s="2"/>
      <c r="BR509" s="2"/>
      <c r="BS509" s="2"/>
      <c r="BT509" s="2"/>
      <c r="BU509" s="2"/>
    </row>
    <row r="510" spans="68:73" x14ac:dyDescent="0.25">
      <c r="BP510" s="2"/>
      <c r="BQ510" s="2"/>
      <c r="BR510" s="2"/>
      <c r="BS510" s="2"/>
      <c r="BT510" s="2"/>
      <c r="BU510" s="2"/>
    </row>
    <row r="511" spans="68:73" x14ac:dyDescent="0.25">
      <c r="BP511" s="2"/>
      <c r="BQ511" s="2"/>
      <c r="BR511" s="2"/>
      <c r="BS511" s="2"/>
      <c r="BT511" s="2"/>
      <c r="BU511" s="2"/>
    </row>
    <row r="512" spans="68:73" x14ac:dyDescent="0.25">
      <c r="BP512" s="2"/>
      <c r="BQ512" s="2"/>
      <c r="BR512" s="2"/>
      <c r="BS512" s="2"/>
      <c r="BT512" s="2"/>
      <c r="BU512" s="2"/>
    </row>
    <row r="513" spans="68:73" x14ac:dyDescent="0.25">
      <c r="BP513" s="2"/>
      <c r="BQ513" s="2"/>
      <c r="BR513" s="2"/>
      <c r="BS513" s="2"/>
      <c r="BT513" s="2"/>
      <c r="BU513" s="2"/>
    </row>
    <row r="514" spans="68:73" x14ac:dyDescent="0.25">
      <c r="BP514" s="2"/>
      <c r="BQ514" s="2"/>
      <c r="BR514" s="2"/>
      <c r="BS514" s="2"/>
      <c r="BT514" s="2"/>
      <c r="BU514" s="2"/>
    </row>
    <row r="515" spans="68:73" x14ac:dyDescent="0.25">
      <c r="BP515" s="2"/>
      <c r="BQ515" s="2"/>
      <c r="BR515" s="2"/>
      <c r="BS515" s="2"/>
      <c r="BT515" s="2"/>
      <c r="BU515" s="2"/>
    </row>
    <row r="516" spans="68:73" x14ac:dyDescent="0.25">
      <c r="BP516" s="2"/>
      <c r="BQ516" s="2"/>
      <c r="BR516" s="2"/>
      <c r="BS516" s="2"/>
      <c r="BT516" s="2"/>
      <c r="BU516" s="2"/>
    </row>
    <row r="517" spans="68:73" x14ac:dyDescent="0.25">
      <c r="BP517" s="2"/>
      <c r="BQ517" s="2"/>
      <c r="BR517" s="2"/>
      <c r="BS517" s="2"/>
      <c r="BT517" s="2"/>
      <c r="BU517" s="2"/>
    </row>
    <row r="518" spans="68:73" x14ac:dyDescent="0.25">
      <c r="BP518" s="2"/>
      <c r="BQ518" s="2"/>
      <c r="BR518" s="2"/>
      <c r="BS518" s="2"/>
      <c r="BT518" s="2"/>
      <c r="BU518" s="2"/>
    </row>
    <row r="519" spans="68:73" x14ac:dyDescent="0.25">
      <c r="BP519" s="2"/>
      <c r="BQ519" s="2"/>
      <c r="BR519" s="2"/>
      <c r="BS519" s="2"/>
      <c r="BT519" s="2"/>
      <c r="BU519" s="2"/>
    </row>
    <row r="520" spans="68:73" x14ac:dyDescent="0.25">
      <c r="BP520" s="2"/>
      <c r="BQ520" s="2"/>
      <c r="BR520" s="2"/>
      <c r="BS520" s="2"/>
      <c r="BT520" s="2"/>
      <c r="BU520" s="2"/>
    </row>
    <row r="521" spans="68:73" x14ac:dyDescent="0.25">
      <c r="BP521" s="2"/>
      <c r="BQ521" s="2"/>
      <c r="BR521" s="2"/>
      <c r="BS521" s="2"/>
      <c r="BT521" s="2"/>
      <c r="BU521" s="2"/>
    </row>
    <row r="522" spans="68:73" x14ac:dyDescent="0.25">
      <c r="BP522" s="2"/>
      <c r="BQ522" s="2"/>
      <c r="BR522" s="2"/>
      <c r="BS522" s="2"/>
      <c r="BT522" s="2"/>
      <c r="BU522" s="2"/>
    </row>
    <row r="523" spans="68:73" x14ac:dyDescent="0.25">
      <c r="BP523" s="2"/>
      <c r="BQ523" s="2"/>
      <c r="BR523" s="2"/>
      <c r="BS523" s="2"/>
      <c r="BT523" s="2"/>
      <c r="BU523" s="2"/>
    </row>
    <row r="524" spans="68:73" x14ac:dyDescent="0.25">
      <c r="BP524" s="2"/>
      <c r="BQ524" s="2"/>
      <c r="BR524" s="2"/>
      <c r="BS524" s="2"/>
      <c r="BT524" s="2"/>
      <c r="BU524" s="2"/>
    </row>
    <row r="525" spans="68:73" x14ac:dyDescent="0.25">
      <c r="BP525" s="2"/>
      <c r="BQ525" s="2"/>
      <c r="BR525" s="2"/>
      <c r="BS525" s="2"/>
      <c r="BT525" s="2"/>
      <c r="BU525" s="2"/>
    </row>
    <row r="526" spans="68:73" x14ac:dyDescent="0.25">
      <c r="BP526" s="2"/>
      <c r="BQ526" s="2"/>
      <c r="BR526" s="2"/>
      <c r="BS526" s="2"/>
      <c r="BT526" s="2"/>
      <c r="BU526" s="2"/>
    </row>
    <row r="527" spans="68:73" x14ac:dyDescent="0.25">
      <c r="BP527" s="2"/>
      <c r="BQ527" s="2"/>
      <c r="BR527" s="2"/>
      <c r="BS527" s="2"/>
      <c r="BT527" s="2"/>
      <c r="BU527" s="2"/>
    </row>
    <row r="528" spans="68:73" x14ac:dyDescent="0.25">
      <c r="BP528" s="2"/>
      <c r="BQ528" s="2"/>
      <c r="BR528" s="2"/>
      <c r="BS528" s="2"/>
      <c r="BT528" s="2"/>
      <c r="BU528" s="2"/>
    </row>
    <row r="529" spans="68:73" x14ac:dyDescent="0.25">
      <c r="BP529" s="2"/>
      <c r="BQ529" s="2"/>
      <c r="BR529" s="2"/>
      <c r="BS529" s="2"/>
      <c r="BT529" s="2"/>
      <c r="BU529" s="2"/>
    </row>
    <row r="530" spans="68:73" x14ac:dyDescent="0.25">
      <c r="BP530" s="2"/>
      <c r="BQ530" s="2"/>
      <c r="BR530" s="2"/>
      <c r="BS530" s="2"/>
      <c r="BT530" s="2"/>
      <c r="BU530" s="2"/>
    </row>
    <row r="531" spans="68:73" x14ac:dyDescent="0.25">
      <c r="BP531" s="2"/>
      <c r="BQ531" s="2"/>
      <c r="BR531" s="2"/>
      <c r="BS531" s="2"/>
      <c r="BT531" s="2"/>
      <c r="BU531" s="2"/>
    </row>
    <row r="532" spans="68:73" x14ac:dyDescent="0.25">
      <c r="BP532" s="2"/>
      <c r="BQ532" s="2"/>
      <c r="BR532" s="2"/>
      <c r="BS532" s="2"/>
      <c r="BT532" s="2"/>
      <c r="BU532" s="2"/>
    </row>
    <row r="533" spans="68:73" x14ac:dyDescent="0.25">
      <c r="BP533" s="2"/>
      <c r="BQ533" s="2"/>
      <c r="BR533" s="2"/>
      <c r="BS533" s="2"/>
      <c r="BT533" s="2"/>
      <c r="BU533" s="2"/>
    </row>
    <row r="534" spans="68:73" x14ac:dyDescent="0.25">
      <c r="BP534" s="2"/>
      <c r="BQ534" s="2"/>
      <c r="BR534" s="2"/>
      <c r="BS534" s="2"/>
      <c r="BT534" s="2"/>
      <c r="BU534" s="2"/>
    </row>
    <row r="535" spans="68:73" x14ac:dyDescent="0.25">
      <c r="BP535" s="2"/>
      <c r="BQ535" s="2"/>
      <c r="BR535" s="2"/>
      <c r="BS535" s="2"/>
      <c r="BT535" s="2"/>
      <c r="BU535" s="2"/>
    </row>
    <row r="536" spans="68:73" x14ac:dyDescent="0.25">
      <c r="BP536" s="2"/>
      <c r="BQ536" s="2"/>
      <c r="BR536" s="2"/>
      <c r="BS536" s="2"/>
      <c r="BT536" s="2"/>
      <c r="BU536" s="2"/>
    </row>
    <row r="537" spans="68:73" x14ac:dyDescent="0.25">
      <c r="BP537" s="2"/>
      <c r="BQ537" s="2"/>
      <c r="BR537" s="2"/>
      <c r="BS537" s="2"/>
      <c r="BT537" s="2"/>
      <c r="BU537" s="2"/>
    </row>
    <row r="538" spans="68:73" x14ac:dyDescent="0.25">
      <c r="BP538" s="2"/>
      <c r="BQ538" s="2"/>
      <c r="BR538" s="2"/>
      <c r="BS538" s="2"/>
      <c r="BT538" s="2"/>
      <c r="BU538" s="2"/>
    </row>
    <row r="539" spans="68:73" x14ac:dyDescent="0.25">
      <c r="BP539" s="2"/>
      <c r="BQ539" s="2"/>
      <c r="BR539" s="2"/>
      <c r="BS539" s="2"/>
      <c r="BT539" s="2"/>
      <c r="BU539" s="2"/>
    </row>
    <row r="540" spans="68:73" x14ac:dyDescent="0.25">
      <c r="BP540" s="2"/>
      <c r="BQ540" s="2"/>
      <c r="BR540" s="2"/>
      <c r="BS540" s="2"/>
      <c r="BT540" s="2"/>
      <c r="BU540" s="2"/>
    </row>
    <row r="541" spans="68:73" x14ac:dyDescent="0.25">
      <c r="BP541" s="2"/>
      <c r="BQ541" s="2"/>
      <c r="BR541" s="2"/>
      <c r="BS541" s="2"/>
      <c r="BT541" s="2"/>
      <c r="BU541" s="2"/>
    </row>
    <row r="542" spans="68:73" x14ac:dyDescent="0.25">
      <c r="BP542" s="2"/>
      <c r="BQ542" s="2"/>
      <c r="BR542" s="2"/>
      <c r="BS542" s="2"/>
      <c r="BT542" s="2"/>
      <c r="BU542" s="2"/>
    </row>
    <row r="543" spans="68:73" x14ac:dyDescent="0.25">
      <c r="BP543" s="2"/>
      <c r="BQ543" s="2"/>
      <c r="BR543" s="2"/>
      <c r="BS543" s="2"/>
      <c r="BT543" s="2"/>
      <c r="BU543" s="2"/>
    </row>
    <row r="544" spans="68:73" x14ac:dyDescent="0.25">
      <c r="BP544" s="2"/>
      <c r="BQ544" s="2"/>
      <c r="BR544" s="2"/>
      <c r="BS544" s="2"/>
      <c r="BT544" s="2"/>
      <c r="BU544" s="2"/>
    </row>
    <row r="545" spans="68:73" x14ac:dyDescent="0.25">
      <c r="BP545" s="2"/>
      <c r="BQ545" s="2"/>
      <c r="BR545" s="2"/>
      <c r="BS545" s="2"/>
      <c r="BT545" s="2"/>
      <c r="BU545" s="2"/>
    </row>
    <row r="546" spans="68:73" x14ac:dyDescent="0.25">
      <c r="BP546" s="2"/>
      <c r="BQ546" s="2"/>
      <c r="BR546" s="2"/>
      <c r="BS546" s="2"/>
      <c r="BT546" s="2"/>
      <c r="BU546" s="2"/>
    </row>
    <row r="547" spans="68:73" x14ac:dyDescent="0.25">
      <c r="BP547" s="2"/>
      <c r="BQ547" s="2"/>
      <c r="BR547" s="2"/>
      <c r="BS547" s="2"/>
      <c r="BT547" s="2"/>
      <c r="BU547" s="2"/>
    </row>
    <row r="548" spans="68:73" x14ac:dyDescent="0.25">
      <c r="BP548" s="2"/>
      <c r="BQ548" s="2"/>
      <c r="BR548" s="2"/>
      <c r="BS548" s="2"/>
      <c r="BT548" s="2"/>
      <c r="BU548" s="2"/>
    </row>
    <row r="549" spans="68:73" x14ac:dyDescent="0.25">
      <c r="BP549" s="2"/>
      <c r="BQ549" s="2"/>
      <c r="BR549" s="2"/>
      <c r="BS549" s="2"/>
      <c r="BT549" s="2"/>
      <c r="BU549" s="2"/>
    </row>
    <row r="550" spans="68:73" x14ac:dyDescent="0.25">
      <c r="BP550" s="2"/>
      <c r="BQ550" s="2"/>
      <c r="BR550" s="2"/>
      <c r="BS550" s="2"/>
      <c r="BT550" s="2"/>
      <c r="BU550" s="2"/>
    </row>
    <row r="551" spans="68:73" x14ac:dyDescent="0.25">
      <c r="BP551" s="2"/>
      <c r="BQ551" s="2"/>
      <c r="BR551" s="2"/>
      <c r="BS551" s="2"/>
      <c r="BT551" s="2"/>
      <c r="BU551" s="2"/>
    </row>
    <row r="552" spans="68:73" x14ac:dyDescent="0.25">
      <c r="BP552" s="2"/>
      <c r="BQ552" s="2"/>
      <c r="BR552" s="2"/>
      <c r="BS552" s="2"/>
      <c r="BT552" s="2"/>
      <c r="BU552" s="2"/>
    </row>
    <row r="553" spans="68:73" x14ac:dyDescent="0.25">
      <c r="BP553" s="2"/>
      <c r="BQ553" s="2"/>
      <c r="BR553" s="2"/>
      <c r="BS553" s="2"/>
      <c r="BT553" s="2"/>
      <c r="BU553" s="2"/>
    </row>
    <row r="554" spans="68:73" x14ac:dyDescent="0.25">
      <c r="BP554" s="2"/>
      <c r="BQ554" s="2"/>
      <c r="BR554" s="2"/>
      <c r="BS554" s="2"/>
      <c r="BT554" s="2"/>
      <c r="BU554" s="2"/>
    </row>
    <row r="555" spans="68:73" x14ac:dyDescent="0.25">
      <c r="BP555" s="2"/>
      <c r="BQ555" s="2"/>
      <c r="BR555" s="2"/>
      <c r="BS555" s="2"/>
      <c r="BT555" s="2"/>
      <c r="BU555" s="2"/>
    </row>
    <row r="556" spans="68:73" x14ac:dyDescent="0.25">
      <c r="BP556" s="2"/>
      <c r="BQ556" s="2"/>
      <c r="BR556" s="2"/>
      <c r="BS556" s="2"/>
      <c r="BT556" s="2"/>
      <c r="BU556" s="2"/>
    </row>
    <row r="557" spans="68:73" x14ac:dyDescent="0.25">
      <c r="BP557" s="2"/>
      <c r="BQ557" s="2"/>
      <c r="BR557" s="2"/>
      <c r="BS557" s="2"/>
      <c r="BT557" s="2"/>
      <c r="BU557" s="2"/>
    </row>
    <row r="558" spans="68:73" x14ac:dyDescent="0.25">
      <c r="BP558" s="2"/>
      <c r="BQ558" s="2"/>
      <c r="BR558" s="2"/>
      <c r="BS558" s="2"/>
      <c r="BT558" s="2"/>
      <c r="BU558" s="2"/>
    </row>
    <row r="559" spans="68:73" x14ac:dyDescent="0.25">
      <c r="BP559" s="2"/>
      <c r="BQ559" s="2"/>
      <c r="BR559" s="2"/>
      <c r="BS559" s="2"/>
      <c r="BT559" s="2"/>
      <c r="BU559" s="2"/>
    </row>
    <row r="560" spans="68:73" x14ac:dyDescent="0.25">
      <c r="BP560" s="2"/>
      <c r="BQ560" s="2"/>
      <c r="BR560" s="2"/>
      <c r="BS560" s="2"/>
      <c r="BT560" s="2"/>
      <c r="BU560" s="2"/>
    </row>
    <row r="561" spans="68:73" x14ac:dyDescent="0.25">
      <c r="BP561" s="2"/>
      <c r="BQ561" s="2"/>
      <c r="BR561" s="2"/>
      <c r="BS561" s="2"/>
      <c r="BT561" s="2"/>
      <c r="BU561" s="2"/>
    </row>
    <row r="562" spans="68:73" x14ac:dyDescent="0.25">
      <c r="BP562" s="2"/>
      <c r="BQ562" s="2"/>
      <c r="BR562" s="2"/>
      <c r="BS562" s="2"/>
      <c r="BT562" s="2"/>
      <c r="BU562" s="2"/>
    </row>
    <row r="563" spans="68:73" x14ac:dyDescent="0.25">
      <c r="BP563" s="2"/>
      <c r="BQ563" s="2"/>
      <c r="BR563" s="2"/>
      <c r="BS563" s="2"/>
      <c r="BT563" s="2"/>
      <c r="BU563" s="2"/>
    </row>
    <row r="564" spans="68:73" x14ac:dyDescent="0.25">
      <c r="BP564" s="2"/>
      <c r="BQ564" s="2"/>
      <c r="BR564" s="2"/>
      <c r="BS564" s="2"/>
      <c r="BT564" s="2"/>
      <c r="BU564" s="2"/>
    </row>
    <row r="565" spans="68:73" x14ac:dyDescent="0.25">
      <c r="BP565" s="2"/>
      <c r="BQ565" s="2"/>
      <c r="BR565" s="2"/>
      <c r="BS565" s="2"/>
      <c r="BT565" s="2"/>
      <c r="BU565" s="2"/>
    </row>
    <row r="566" spans="68:73" x14ac:dyDescent="0.25">
      <c r="BP566" s="2"/>
      <c r="BQ566" s="2"/>
      <c r="BR566" s="2"/>
      <c r="BS566" s="2"/>
      <c r="BT566" s="2"/>
      <c r="BU566" s="2"/>
    </row>
    <row r="567" spans="68:73" x14ac:dyDescent="0.25">
      <c r="BP567" s="2"/>
      <c r="BQ567" s="2"/>
      <c r="BR567" s="2"/>
      <c r="BS567" s="2"/>
      <c r="BT567" s="2"/>
      <c r="BU567" s="2"/>
    </row>
    <row r="568" spans="68:73" x14ac:dyDescent="0.25">
      <c r="BP568" s="2"/>
      <c r="BQ568" s="2"/>
      <c r="BR568" s="2"/>
      <c r="BS568" s="2"/>
      <c r="BT568" s="2"/>
      <c r="BU568" s="2"/>
    </row>
    <row r="569" spans="68:73" x14ac:dyDescent="0.25">
      <c r="BP569" s="2"/>
      <c r="BQ569" s="2"/>
      <c r="BR569" s="2"/>
      <c r="BS569" s="2"/>
      <c r="BT569" s="2"/>
      <c r="BU569" s="2"/>
    </row>
    <row r="570" spans="68:73" x14ac:dyDescent="0.25">
      <c r="BP570" s="2"/>
      <c r="BQ570" s="2"/>
      <c r="BR570" s="2"/>
      <c r="BS570" s="2"/>
      <c r="BT570" s="2"/>
      <c r="BU570" s="2"/>
    </row>
    <row r="571" spans="68:73" x14ac:dyDescent="0.25">
      <c r="BP571" s="2"/>
      <c r="BQ571" s="2"/>
      <c r="BR571" s="2"/>
      <c r="BS571" s="2"/>
      <c r="BT571" s="2"/>
      <c r="BU571" s="2"/>
    </row>
    <row r="572" spans="68:73" x14ac:dyDescent="0.25">
      <c r="BP572" s="2"/>
      <c r="BQ572" s="2"/>
      <c r="BR572" s="2"/>
      <c r="BS572" s="2"/>
      <c r="BT572" s="2"/>
      <c r="BU572" s="2"/>
    </row>
    <row r="573" spans="68:73" x14ac:dyDescent="0.25">
      <c r="BP573" s="2"/>
      <c r="BQ573" s="2"/>
      <c r="BR573" s="2"/>
      <c r="BS573" s="2"/>
      <c r="BT573" s="2"/>
      <c r="BU573" s="2"/>
    </row>
    <row r="574" spans="68:73" x14ac:dyDescent="0.25">
      <c r="BP574" s="2"/>
      <c r="BQ574" s="2"/>
      <c r="BR574" s="2"/>
      <c r="BS574" s="2"/>
      <c r="BT574" s="2"/>
      <c r="BU574" s="2"/>
    </row>
    <row r="575" spans="68:73" x14ac:dyDescent="0.25">
      <c r="BP575" s="2"/>
      <c r="BQ575" s="2"/>
      <c r="BR575" s="2"/>
      <c r="BS575" s="2"/>
      <c r="BT575" s="2"/>
      <c r="BU575" s="2"/>
    </row>
    <row r="576" spans="68:73" x14ac:dyDescent="0.25">
      <c r="BP576" s="2"/>
      <c r="BQ576" s="2"/>
      <c r="BR576" s="2"/>
      <c r="BS576" s="2"/>
      <c r="BT576" s="2"/>
      <c r="BU576" s="2"/>
    </row>
    <row r="577" spans="68:73" x14ac:dyDescent="0.25">
      <c r="BP577" s="2"/>
      <c r="BQ577" s="2"/>
      <c r="BR577" s="2"/>
      <c r="BS577" s="2"/>
      <c r="BT577" s="2"/>
      <c r="BU577" s="2"/>
    </row>
    <row r="578" spans="68:73" x14ac:dyDescent="0.25">
      <c r="BP578" s="2"/>
      <c r="BQ578" s="2"/>
      <c r="BR578" s="2"/>
      <c r="BS578" s="2"/>
      <c r="BT578" s="2"/>
      <c r="BU578" s="2"/>
    </row>
    <row r="579" spans="68:73" x14ac:dyDescent="0.25">
      <c r="BP579" s="2"/>
      <c r="BQ579" s="2"/>
      <c r="BR579" s="2"/>
      <c r="BS579" s="2"/>
      <c r="BT579" s="2"/>
      <c r="BU579" s="2"/>
    </row>
    <row r="580" spans="68:73" x14ac:dyDescent="0.25">
      <c r="BP580" s="2"/>
      <c r="BQ580" s="2"/>
      <c r="BR580" s="2"/>
      <c r="BS580" s="2"/>
      <c r="BT580" s="2"/>
      <c r="BU580" s="2"/>
    </row>
    <row r="581" spans="68:73" x14ac:dyDescent="0.25">
      <c r="BP581" s="2"/>
      <c r="BQ581" s="2"/>
      <c r="BR581" s="2"/>
      <c r="BS581" s="2"/>
      <c r="BT581" s="2"/>
      <c r="BU581" s="2"/>
    </row>
    <row r="582" spans="68:73" x14ac:dyDescent="0.25">
      <c r="BP582" s="2"/>
      <c r="BQ582" s="2"/>
      <c r="BR582" s="2"/>
      <c r="BS582" s="2"/>
      <c r="BT582" s="2"/>
      <c r="BU582" s="2"/>
    </row>
    <row r="583" spans="68:73" x14ac:dyDescent="0.25">
      <c r="BP583" s="2"/>
      <c r="BQ583" s="2"/>
      <c r="BR583" s="2"/>
      <c r="BS583" s="2"/>
      <c r="BT583" s="2"/>
      <c r="BU583" s="2"/>
    </row>
    <row r="584" spans="68:73" x14ac:dyDescent="0.25">
      <c r="BP584" s="2"/>
      <c r="BQ584" s="2"/>
      <c r="BR584" s="2"/>
      <c r="BS584" s="2"/>
      <c r="BT584" s="2"/>
      <c r="BU584" s="2"/>
    </row>
    <row r="585" spans="68:73" x14ac:dyDescent="0.25">
      <c r="BP585" s="2"/>
      <c r="BQ585" s="2"/>
      <c r="BR585" s="2"/>
      <c r="BS585" s="2"/>
      <c r="BT585" s="2"/>
      <c r="BU585" s="2"/>
    </row>
    <row r="586" spans="68:73" x14ac:dyDescent="0.25">
      <c r="BP586" s="2"/>
      <c r="BQ586" s="2"/>
      <c r="BR586" s="2"/>
      <c r="BS586" s="2"/>
      <c r="BT586" s="2"/>
      <c r="BU586" s="2"/>
    </row>
    <row r="587" spans="68:73" x14ac:dyDescent="0.25">
      <c r="BP587" s="2"/>
      <c r="BQ587" s="2"/>
      <c r="BR587" s="2"/>
      <c r="BS587" s="2"/>
      <c r="BT587" s="2"/>
      <c r="BU587" s="2"/>
    </row>
    <row r="588" spans="68:73" x14ac:dyDescent="0.25">
      <c r="BP588" s="2"/>
      <c r="BQ588" s="2"/>
      <c r="BR588" s="2"/>
      <c r="BS588" s="2"/>
      <c r="BT588" s="2"/>
      <c r="BU588" s="2"/>
    </row>
    <row r="589" spans="68:73" x14ac:dyDescent="0.25">
      <c r="BP589" s="2"/>
      <c r="BQ589" s="2"/>
      <c r="BR589" s="2"/>
      <c r="BS589" s="2"/>
      <c r="BT589" s="2"/>
      <c r="BU589" s="2"/>
    </row>
    <row r="590" spans="68:73" x14ac:dyDescent="0.25">
      <c r="BP590" s="2"/>
      <c r="BQ590" s="2"/>
      <c r="BR590" s="2"/>
      <c r="BS590" s="2"/>
      <c r="BT590" s="2"/>
      <c r="BU590" s="2"/>
    </row>
    <row r="591" spans="68:73" x14ac:dyDescent="0.25">
      <c r="BP591" s="2"/>
      <c r="BQ591" s="2"/>
      <c r="BR591" s="2"/>
      <c r="BS591" s="2"/>
      <c r="BT591" s="2"/>
      <c r="BU591" s="2"/>
    </row>
    <row r="592" spans="68:73" x14ac:dyDescent="0.25">
      <c r="BP592" s="2"/>
      <c r="BQ592" s="2"/>
      <c r="BR592" s="2"/>
      <c r="BS592" s="2"/>
      <c r="BT592" s="2"/>
      <c r="BU592" s="2"/>
    </row>
    <row r="593" spans="68:73" x14ac:dyDescent="0.25">
      <c r="BP593" s="2"/>
      <c r="BQ593" s="2"/>
      <c r="BR593" s="2"/>
      <c r="BS593" s="2"/>
      <c r="BT593" s="2"/>
      <c r="BU593" s="2"/>
    </row>
    <row r="594" spans="68:73" x14ac:dyDescent="0.25">
      <c r="BP594" s="2"/>
      <c r="BQ594" s="2"/>
      <c r="BR594" s="2"/>
      <c r="BS594" s="2"/>
      <c r="BT594" s="2"/>
      <c r="BU594" s="2"/>
    </row>
    <row r="595" spans="68:73" x14ac:dyDescent="0.25">
      <c r="BP595" s="2"/>
      <c r="BQ595" s="2"/>
      <c r="BR595" s="2"/>
      <c r="BS595" s="2"/>
      <c r="BT595" s="2"/>
      <c r="BU595" s="2"/>
    </row>
    <row r="596" spans="68:73" x14ac:dyDescent="0.25">
      <c r="BP596" s="2"/>
      <c r="BQ596" s="2"/>
      <c r="BR596" s="2"/>
      <c r="BS596" s="2"/>
      <c r="BT596" s="2"/>
      <c r="BU596" s="2"/>
    </row>
    <row r="597" spans="68:73" x14ac:dyDescent="0.25">
      <c r="BP597" s="2"/>
      <c r="BQ597" s="2"/>
      <c r="BR597" s="2"/>
      <c r="BS597" s="2"/>
      <c r="BT597" s="2"/>
      <c r="BU597" s="2"/>
    </row>
    <row r="598" spans="68:73" x14ac:dyDescent="0.25">
      <c r="BP598" s="2"/>
      <c r="BQ598" s="2"/>
      <c r="BR598" s="2"/>
      <c r="BS598" s="2"/>
      <c r="BT598" s="2"/>
      <c r="BU598" s="2"/>
    </row>
    <row r="599" spans="68:73" x14ac:dyDescent="0.25">
      <c r="BP599" s="2"/>
      <c r="BQ599" s="2"/>
      <c r="BR599" s="2"/>
      <c r="BS599" s="2"/>
      <c r="BT599" s="2"/>
      <c r="BU599" s="2"/>
    </row>
    <row r="600" spans="68:73" x14ac:dyDescent="0.25">
      <c r="BP600" s="2"/>
      <c r="BQ600" s="2"/>
      <c r="BR600" s="2"/>
      <c r="BS600" s="2"/>
      <c r="BT600" s="2"/>
      <c r="BU600" s="2"/>
    </row>
    <row r="601" spans="68:73" x14ac:dyDescent="0.25">
      <c r="BP601" s="2"/>
      <c r="BQ601" s="2"/>
      <c r="BR601" s="2"/>
      <c r="BS601" s="2"/>
      <c r="BT601" s="2"/>
      <c r="BU601" s="2"/>
    </row>
    <row r="602" spans="68:73" x14ac:dyDescent="0.25">
      <c r="BP602" s="2"/>
      <c r="BQ602" s="2"/>
      <c r="BR602" s="2"/>
      <c r="BS602" s="2"/>
      <c r="BT602" s="2"/>
      <c r="BU602" s="2"/>
    </row>
    <row r="603" spans="68:73" x14ac:dyDescent="0.25">
      <c r="BP603" s="2"/>
      <c r="BQ603" s="2"/>
      <c r="BR603" s="2"/>
      <c r="BS603" s="2"/>
      <c r="BT603" s="2"/>
      <c r="BU603" s="2"/>
    </row>
    <row r="604" spans="68:73" x14ac:dyDescent="0.25">
      <c r="BP604" s="2"/>
      <c r="BQ604" s="2"/>
      <c r="BR604" s="2"/>
      <c r="BS604" s="2"/>
      <c r="BT604" s="2"/>
      <c r="BU604" s="2"/>
    </row>
    <row r="605" spans="68:73" x14ac:dyDescent="0.25">
      <c r="BP605" s="2"/>
      <c r="BQ605" s="2"/>
      <c r="BR605" s="2"/>
      <c r="BS605" s="2"/>
      <c r="BT605" s="2"/>
      <c r="BU605" s="2"/>
    </row>
    <row r="606" spans="68:73" x14ac:dyDescent="0.25">
      <c r="BP606" s="2"/>
      <c r="BQ606" s="2"/>
      <c r="BR606" s="2"/>
      <c r="BS606" s="2"/>
      <c r="BT606" s="2"/>
      <c r="BU606" s="2"/>
    </row>
    <row r="607" spans="68:73" x14ac:dyDescent="0.25">
      <c r="BP607" s="2"/>
      <c r="BQ607" s="2"/>
      <c r="BR607" s="2"/>
      <c r="BS607" s="2"/>
      <c r="BT607" s="2"/>
      <c r="BU607" s="2"/>
    </row>
    <row r="608" spans="68:73" x14ac:dyDescent="0.25">
      <c r="BP608" s="2"/>
      <c r="BQ608" s="2"/>
      <c r="BR608" s="2"/>
      <c r="BS608" s="2"/>
      <c r="BT608" s="2"/>
      <c r="BU608" s="2"/>
    </row>
    <row r="609" spans="68:73" x14ac:dyDescent="0.25">
      <c r="BP609" s="2"/>
      <c r="BQ609" s="2"/>
      <c r="BR609" s="2"/>
      <c r="BS609" s="2"/>
      <c r="BT609" s="2"/>
      <c r="BU609" s="2"/>
    </row>
    <row r="610" spans="68:73" x14ac:dyDescent="0.25">
      <c r="BP610" s="2"/>
      <c r="BQ610" s="2"/>
      <c r="BR610" s="2"/>
      <c r="BS610" s="2"/>
      <c r="BT610" s="2"/>
      <c r="BU610" s="2"/>
    </row>
    <row r="611" spans="68:73" x14ac:dyDescent="0.25">
      <c r="BP611" s="2"/>
      <c r="BQ611" s="2"/>
      <c r="BR611" s="2"/>
      <c r="BS611" s="2"/>
      <c r="BT611" s="2"/>
      <c r="BU611" s="2"/>
    </row>
    <row r="612" spans="68:73" x14ac:dyDescent="0.25">
      <c r="BP612" s="2"/>
      <c r="BQ612" s="2"/>
      <c r="BR612" s="2"/>
      <c r="BS612" s="2"/>
      <c r="BT612" s="2"/>
      <c r="BU612" s="2"/>
    </row>
    <row r="613" spans="68:73" x14ac:dyDescent="0.25">
      <c r="BP613" s="2"/>
      <c r="BQ613" s="2"/>
      <c r="BR613" s="2"/>
      <c r="BS613" s="2"/>
      <c r="BT613" s="2"/>
      <c r="BU613" s="2"/>
    </row>
    <row r="614" spans="68:73" x14ac:dyDescent="0.25">
      <c r="BP614" s="2"/>
      <c r="BQ614" s="2"/>
      <c r="BR614" s="2"/>
      <c r="BS614" s="2"/>
      <c r="BT614" s="2"/>
      <c r="BU614" s="2"/>
    </row>
    <row r="615" spans="68:73" x14ac:dyDescent="0.25">
      <c r="BP615" s="2"/>
      <c r="BQ615" s="2"/>
      <c r="BR615" s="2"/>
      <c r="BS615" s="2"/>
      <c r="BT615" s="2"/>
      <c r="BU615" s="2"/>
    </row>
    <row r="616" spans="68:73" x14ac:dyDescent="0.25">
      <c r="BP616" s="2"/>
      <c r="BQ616" s="2"/>
      <c r="BR616" s="2"/>
      <c r="BS616" s="2"/>
      <c r="BT616" s="2"/>
      <c r="BU616" s="2"/>
    </row>
    <row r="617" spans="68:73" x14ac:dyDescent="0.25">
      <c r="BP617" s="2"/>
      <c r="BQ617" s="2"/>
      <c r="BR617" s="2"/>
      <c r="BS617" s="2"/>
      <c r="BT617" s="2"/>
      <c r="BU617" s="2"/>
    </row>
    <row r="618" spans="68:73" x14ac:dyDescent="0.25">
      <c r="BP618" s="2"/>
      <c r="BQ618" s="2"/>
      <c r="BR618" s="2"/>
      <c r="BS618" s="2"/>
      <c r="BT618" s="2"/>
      <c r="BU618" s="2"/>
    </row>
    <row r="619" spans="68:73" x14ac:dyDescent="0.25">
      <c r="BP619" s="2"/>
      <c r="BQ619" s="2"/>
      <c r="BR619" s="2"/>
      <c r="BS619" s="2"/>
      <c r="BT619" s="2"/>
      <c r="BU619" s="2"/>
    </row>
    <row r="620" spans="68:73" x14ac:dyDescent="0.25">
      <c r="BP620" s="2"/>
      <c r="BQ620" s="2"/>
      <c r="BR620" s="2"/>
      <c r="BS620" s="2"/>
      <c r="BT620" s="2"/>
      <c r="BU620" s="2"/>
    </row>
    <row r="621" spans="68:73" x14ac:dyDescent="0.25">
      <c r="BP621" s="2"/>
      <c r="BQ621" s="2"/>
      <c r="BR621" s="2"/>
      <c r="BS621" s="2"/>
      <c r="BT621" s="2"/>
      <c r="BU621" s="2"/>
    </row>
    <row r="622" spans="68:73" x14ac:dyDescent="0.25">
      <c r="BP622" s="2"/>
      <c r="BQ622" s="2"/>
      <c r="BR622" s="2"/>
      <c r="BS622" s="2"/>
      <c r="BT622" s="2"/>
      <c r="BU622" s="2"/>
    </row>
    <row r="623" spans="68:73" x14ac:dyDescent="0.25">
      <c r="BP623" s="2"/>
      <c r="BQ623" s="2"/>
      <c r="BR623" s="2"/>
      <c r="BS623" s="2"/>
      <c r="BT623" s="2"/>
      <c r="BU623" s="2"/>
    </row>
    <row r="624" spans="68:73" x14ac:dyDescent="0.25">
      <c r="BP624" s="2"/>
      <c r="BQ624" s="2"/>
      <c r="BR624" s="2"/>
      <c r="BS624" s="2"/>
      <c r="BT624" s="2"/>
      <c r="BU624" s="2"/>
    </row>
    <row r="625" spans="68:73" x14ac:dyDescent="0.25">
      <c r="BP625" s="2"/>
      <c r="BQ625" s="2"/>
      <c r="BR625" s="2"/>
      <c r="BS625" s="2"/>
      <c r="BT625" s="2"/>
      <c r="BU625" s="2"/>
    </row>
    <row r="626" spans="68:73" x14ac:dyDescent="0.25">
      <c r="BP626" s="2"/>
      <c r="BQ626" s="2"/>
      <c r="BR626" s="2"/>
      <c r="BS626" s="2"/>
      <c r="BT626" s="2"/>
      <c r="BU626" s="2"/>
    </row>
    <row r="627" spans="68:73" x14ac:dyDescent="0.25">
      <c r="BP627" s="2"/>
      <c r="BQ627" s="2"/>
      <c r="BR627" s="2"/>
      <c r="BS627" s="2"/>
      <c r="BT627" s="2"/>
      <c r="BU627" s="2"/>
    </row>
    <row r="628" spans="68:73" x14ac:dyDescent="0.25">
      <c r="BP628" s="2"/>
      <c r="BQ628" s="2"/>
      <c r="BR628" s="2"/>
      <c r="BS628" s="2"/>
      <c r="BT628" s="2"/>
      <c r="BU628" s="2"/>
    </row>
    <row r="629" spans="68:73" x14ac:dyDescent="0.25">
      <c r="BP629" s="2"/>
      <c r="BQ629" s="2"/>
      <c r="BR629" s="2"/>
      <c r="BS629" s="2"/>
      <c r="BT629" s="2"/>
      <c r="BU629" s="2"/>
    </row>
    <row r="630" spans="68:73" x14ac:dyDescent="0.25">
      <c r="BP630" s="2"/>
      <c r="BQ630" s="2"/>
      <c r="BR630" s="2"/>
      <c r="BS630" s="2"/>
      <c r="BT630" s="2"/>
      <c r="BU630" s="2"/>
    </row>
    <row r="631" spans="68:73" x14ac:dyDescent="0.25">
      <c r="BP631" s="2"/>
      <c r="BQ631" s="2"/>
      <c r="BR631" s="2"/>
      <c r="BS631" s="2"/>
      <c r="BT631" s="2"/>
      <c r="BU631" s="2"/>
    </row>
    <row r="632" spans="68:73" x14ac:dyDescent="0.25">
      <c r="BP632" s="2"/>
      <c r="BQ632" s="2"/>
      <c r="BR632" s="2"/>
      <c r="BS632" s="2"/>
      <c r="BT632" s="2"/>
      <c r="BU632" s="2"/>
    </row>
    <row r="633" spans="68:73" x14ac:dyDescent="0.25">
      <c r="BP633" s="2"/>
      <c r="BQ633" s="2"/>
      <c r="BR633" s="2"/>
      <c r="BS633" s="2"/>
      <c r="BT633" s="2"/>
      <c r="BU633" s="2"/>
    </row>
    <row r="634" spans="68:73" x14ac:dyDescent="0.25">
      <c r="BP634" s="2"/>
      <c r="BQ634" s="2"/>
      <c r="BR634" s="2"/>
      <c r="BS634" s="2"/>
      <c r="BT634" s="2"/>
      <c r="BU634" s="2"/>
    </row>
    <row r="635" spans="68:73" x14ac:dyDescent="0.25">
      <c r="BP635" s="2"/>
      <c r="BQ635" s="2"/>
      <c r="BR635" s="2"/>
      <c r="BS635" s="2"/>
      <c r="BT635" s="2"/>
      <c r="BU635" s="2"/>
    </row>
    <row r="636" spans="68:73" x14ac:dyDescent="0.25">
      <c r="BP636" s="2"/>
      <c r="BQ636" s="2"/>
      <c r="BR636" s="2"/>
      <c r="BS636" s="2"/>
      <c r="BT636" s="2"/>
      <c r="BU636" s="2"/>
    </row>
    <row r="637" spans="68:73" x14ac:dyDescent="0.25">
      <c r="BP637" s="2"/>
      <c r="BQ637" s="2"/>
      <c r="BR637" s="2"/>
      <c r="BS637" s="2"/>
      <c r="BT637" s="2"/>
      <c r="BU637" s="2"/>
    </row>
    <row r="638" spans="68:73" x14ac:dyDescent="0.25">
      <c r="BP638" s="2"/>
      <c r="BQ638" s="2"/>
      <c r="BR638" s="2"/>
      <c r="BS638" s="2"/>
      <c r="BT638" s="2"/>
      <c r="BU638" s="2"/>
    </row>
    <row r="639" spans="68:73" x14ac:dyDescent="0.25">
      <c r="BP639" s="2"/>
      <c r="BQ639" s="2"/>
      <c r="BR639" s="2"/>
      <c r="BS639" s="2"/>
      <c r="BT639" s="2"/>
      <c r="BU639" s="2"/>
    </row>
    <row r="640" spans="68:73" x14ac:dyDescent="0.25">
      <c r="BP640" s="2"/>
      <c r="BQ640" s="2"/>
      <c r="BR640" s="2"/>
      <c r="BS640" s="2"/>
      <c r="BT640" s="2"/>
      <c r="BU640" s="2"/>
    </row>
    <row r="641" spans="68:73" x14ac:dyDescent="0.25">
      <c r="BP641" s="2"/>
      <c r="BQ641" s="2"/>
      <c r="BR641" s="2"/>
      <c r="BS641" s="2"/>
      <c r="BT641" s="2"/>
      <c r="BU641" s="2"/>
    </row>
    <row r="642" spans="68:73" x14ac:dyDescent="0.25">
      <c r="BP642" s="2"/>
      <c r="BQ642" s="2"/>
      <c r="BR642" s="2"/>
      <c r="BS642" s="2"/>
      <c r="BT642" s="2"/>
      <c r="BU642" s="2"/>
    </row>
    <row r="643" spans="68:73" x14ac:dyDescent="0.25">
      <c r="BP643" s="2"/>
      <c r="BQ643" s="2"/>
      <c r="BR643" s="2"/>
      <c r="BS643" s="2"/>
      <c r="BT643" s="2"/>
      <c r="BU643" s="2"/>
    </row>
    <row r="644" spans="68:73" x14ac:dyDescent="0.25">
      <c r="BP644" s="2"/>
      <c r="BQ644" s="2"/>
      <c r="BR644" s="2"/>
      <c r="BS644" s="2"/>
      <c r="BT644" s="2"/>
      <c r="BU644" s="2"/>
    </row>
    <row r="645" spans="68:73" x14ac:dyDescent="0.25">
      <c r="BP645" s="2"/>
      <c r="BQ645" s="2"/>
      <c r="BR645" s="2"/>
      <c r="BS645" s="2"/>
      <c r="BT645" s="2"/>
      <c r="BU645" s="2"/>
    </row>
    <row r="646" spans="68:73" x14ac:dyDescent="0.25">
      <c r="BP646" s="2"/>
      <c r="BQ646" s="2"/>
      <c r="BR646" s="2"/>
      <c r="BS646" s="2"/>
      <c r="BT646" s="2"/>
      <c r="BU646" s="2"/>
    </row>
    <row r="647" spans="68:73" x14ac:dyDescent="0.25">
      <c r="BP647" s="2"/>
      <c r="BQ647" s="2"/>
      <c r="BR647" s="2"/>
      <c r="BS647" s="2"/>
      <c r="BT647" s="2"/>
      <c r="BU647" s="2"/>
    </row>
    <row r="648" spans="68:73" x14ac:dyDescent="0.25">
      <c r="BP648" s="2"/>
      <c r="BQ648" s="2"/>
      <c r="BR648" s="2"/>
      <c r="BS648" s="2"/>
      <c r="BT648" s="2"/>
      <c r="BU648" s="2"/>
    </row>
    <row r="649" spans="68:73" x14ac:dyDescent="0.25">
      <c r="BP649" s="2"/>
      <c r="BQ649" s="2"/>
      <c r="BR649" s="2"/>
      <c r="BS649" s="2"/>
      <c r="BT649" s="2"/>
      <c r="BU649" s="2"/>
    </row>
    <row r="650" spans="68:73" x14ac:dyDescent="0.25">
      <c r="BP650" s="2"/>
      <c r="BQ650" s="2"/>
      <c r="BR650" s="2"/>
      <c r="BS650" s="2"/>
      <c r="BT650" s="2"/>
      <c r="BU650" s="2"/>
    </row>
    <row r="651" spans="68:73" x14ac:dyDescent="0.25">
      <c r="BP651" s="2"/>
      <c r="BQ651" s="2"/>
      <c r="BR651" s="2"/>
      <c r="BS651" s="2"/>
      <c r="BT651" s="2"/>
      <c r="BU651" s="2"/>
    </row>
    <row r="652" spans="68:73" x14ac:dyDescent="0.25">
      <c r="BP652" s="2"/>
      <c r="BQ652" s="2"/>
      <c r="BR652" s="2"/>
      <c r="BS652" s="2"/>
      <c r="BT652" s="2"/>
      <c r="BU652" s="2"/>
    </row>
    <row r="653" spans="68:73" x14ac:dyDescent="0.25">
      <c r="BP653" s="2"/>
      <c r="BQ653" s="2"/>
      <c r="BR653" s="2"/>
      <c r="BS653" s="2"/>
      <c r="BT653" s="2"/>
      <c r="BU653" s="2"/>
    </row>
    <row r="654" spans="68:73" x14ac:dyDescent="0.25">
      <c r="BP654" s="2"/>
      <c r="BQ654" s="2"/>
      <c r="BR654" s="2"/>
      <c r="BS654" s="2"/>
      <c r="BT654" s="2"/>
      <c r="BU654" s="2"/>
    </row>
    <row r="655" spans="68:73" x14ac:dyDescent="0.25">
      <c r="BP655" s="2"/>
      <c r="BQ655" s="2"/>
      <c r="BR655" s="2"/>
      <c r="BS655" s="2"/>
      <c r="BT655" s="2"/>
      <c r="BU655" s="2"/>
    </row>
    <row r="656" spans="68:73" x14ac:dyDescent="0.25">
      <c r="BP656" s="2"/>
      <c r="BQ656" s="2"/>
      <c r="BR656" s="2"/>
      <c r="BS656" s="2"/>
      <c r="BT656" s="2"/>
      <c r="BU656" s="2"/>
    </row>
    <row r="657" spans="68:73" x14ac:dyDescent="0.25">
      <c r="BP657" s="2"/>
      <c r="BQ657" s="2"/>
      <c r="BR657" s="2"/>
      <c r="BS657" s="2"/>
      <c r="BT657" s="2"/>
      <c r="BU657" s="2"/>
    </row>
    <row r="658" spans="68:73" x14ac:dyDescent="0.25">
      <c r="BP658" s="2"/>
      <c r="BQ658" s="2"/>
      <c r="BR658" s="2"/>
      <c r="BS658" s="2"/>
      <c r="BT658" s="2"/>
      <c r="BU658" s="2"/>
    </row>
    <row r="659" spans="68:73" x14ac:dyDescent="0.25">
      <c r="BP659" s="2"/>
      <c r="BQ659" s="2"/>
      <c r="BR659" s="2"/>
      <c r="BS659" s="2"/>
      <c r="BT659" s="2"/>
      <c r="BU659" s="2"/>
    </row>
    <row r="660" spans="68:73" x14ac:dyDescent="0.25">
      <c r="BP660" s="2"/>
      <c r="BQ660" s="2"/>
      <c r="BR660" s="2"/>
      <c r="BS660" s="2"/>
      <c r="BT660" s="2"/>
      <c r="BU660" s="2"/>
    </row>
    <row r="661" spans="68:73" x14ac:dyDescent="0.25">
      <c r="BP661" s="2"/>
      <c r="BQ661" s="2"/>
      <c r="BR661" s="2"/>
      <c r="BS661" s="2"/>
      <c r="BT661" s="2"/>
      <c r="BU661" s="2"/>
    </row>
    <row r="662" spans="68:73" x14ac:dyDescent="0.25">
      <c r="BP662" s="2"/>
      <c r="BQ662" s="2"/>
      <c r="BR662" s="2"/>
      <c r="BS662" s="2"/>
      <c r="BT662" s="2"/>
      <c r="BU662" s="2"/>
    </row>
    <row r="663" spans="68:73" x14ac:dyDescent="0.25">
      <c r="BP663" s="2"/>
      <c r="BQ663" s="2"/>
      <c r="BR663" s="2"/>
      <c r="BS663" s="2"/>
      <c r="BT663" s="2"/>
      <c r="BU663" s="2"/>
    </row>
    <row r="664" spans="68:73" x14ac:dyDescent="0.25">
      <c r="BP664" s="2"/>
      <c r="BQ664" s="2"/>
      <c r="BR664" s="2"/>
      <c r="BS664" s="2"/>
      <c r="BT664" s="2"/>
      <c r="BU664" s="2"/>
    </row>
    <row r="665" spans="68:73" x14ac:dyDescent="0.25">
      <c r="BP665" s="2"/>
      <c r="BQ665" s="2"/>
      <c r="BR665" s="2"/>
      <c r="BS665" s="2"/>
      <c r="BT665" s="2"/>
      <c r="BU665" s="2"/>
    </row>
    <row r="666" spans="68:73" x14ac:dyDescent="0.25">
      <c r="BP666" s="2"/>
      <c r="BQ666" s="2"/>
      <c r="BR666" s="2"/>
      <c r="BS666" s="2"/>
      <c r="BT666" s="2"/>
      <c r="BU666" s="2"/>
    </row>
    <row r="667" spans="68:73" x14ac:dyDescent="0.25">
      <c r="BP667" s="2"/>
      <c r="BQ667" s="2"/>
      <c r="BR667" s="2"/>
      <c r="BS667" s="2"/>
      <c r="BT667" s="2"/>
      <c r="BU667" s="2"/>
    </row>
    <row r="668" spans="68:73" x14ac:dyDescent="0.25">
      <c r="BP668" s="2"/>
      <c r="BQ668" s="2"/>
      <c r="BR668" s="2"/>
      <c r="BS668" s="2"/>
      <c r="BT668" s="2"/>
      <c r="BU668" s="2"/>
    </row>
    <row r="669" spans="68:73" x14ac:dyDescent="0.25">
      <c r="BP669" s="2"/>
      <c r="BQ669" s="2"/>
      <c r="BR669" s="2"/>
      <c r="BS669" s="2"/>
      <c r="BT669" s="2"/>
      <c r="BU669" s="2"/>
    </row>
    <row r="670" spans="68:73" x14ac:dyDescent="0.25">
      <c r="BP670" s="2"/>
      <c r="BQ670" s="2"/>
      <c r="BR670" s="2"/>
      <c r="BS670" s="2"/>
      <c r="BT670" s="2"/>
      <c r="BU670" s="2"/>
    </row>
    <row r="671" spans="68:73" x14ac:dyDescent="0.25">
      <c r="BP671" s="2"/>
      <c r="BQ671" s="2"/>
      <c r="BR671" s="2"/>
      <c r="BS671" s="2"/>
      <c r="BT671" s="2"/>
      <c r="BU671" s="2"/>
    </row>
    <row r="672" spans="68:73" x14ac:dyDescent="0.25">
      <c r="BP672" s="2"/>
      <c r="BQ672" s="2"/>
      <c r="BR672" s="2"/>
      <c r="BS672" s="2"/>
      <c r="BT672" s="2"/>
      <c r="BU672" s="2"/>
    </row>
    <row r="673" spans="68:73" x14ac:dyDescent="0.25">
      <c r="BP673" s="2"/>
      <c r="BQ673" s="2"/>
      <c r="BR673" s="2"/>
      <c r="BS673" s="2"/>
      <c r="BT673" s="2"/>
      <c r="BU673" s="2"/>
    </row>
    <row r="674" spans="68:73" x14ac:dyDescent="0.25">
      <c r="BP674" s="2"/>
      <c r="BQ674" s="2"/>
      <c r="BR674" s="2"/>
      <c r="BS674" s="2"/>
      <c r="BT674" s="2"/>
      <c r="BU674" s="2"/>
    </row>
    <row r="675" spans="68:73" x14ac:dyDescent="0.25">
      <c r="BP675" s="2"/>
      <c r="BQ675" s="2"/>
      <c r="BR675" s="2"/>
      <c r="BS675" s="2"/>
      <c r="BT675" s="2"/>
      <c r="BU675" s="2"/>
    </row>
    <row r="676" spans="68:73" x14ac:dyDescent="0.25">
      <c r="BP676" s="2"/>
      <c r="BQ676" s="2"/>
      <c r="BR676" s="2"/>
      <c r="BS676" s="2"/>
      <c r="BT676" s="2"/>
      <c r="BU676" s="2"/>
    </row>
    <row r="677" spans="68:73" x14ac:dyDescent="0.25">
      <c r="BP677" s="2"/>
      <c r="BQ677" s="2"/>
      <c r="BR677" s="2"/>
      <c r="BS677" s="2"/>
      <c r="BT677" s="2"/>
      <c r="BU677" s="2"/>
    </row>
    <row r="678" spans="68:73" x14ac:dyDescent="0.25">
      <c r="BP678" s="2"/>
      <c r="BQ678" s="2"/>
      <c r="BR678" s="2"/>
      <c r="BS678" s="2"/>
      <c r="BT678" s="2"/>
      <c r="BU678" s="2"/>
    </row>
    <row r="679" spans="68:73" x14ac:dyDescent="0.25">
      <c r="BP679" s="2"/>
      <c r="BQ679" s="2"/>
      <c r="BR679" s="2"/>
      <c r="BS679" s="2"/>
      <c r="BT679" s="2"/>
      <c r="BU679" s="2"/>
    </row>
    <row r="680" spans="68:73" x14ac:dyDescent="0.25">
      <c r="BP680" s="2"/>
      <c r="BQ680" s="2"/>
      <c r="BR680" s="2"/>
      <c r="BS680" s="2"/>
      <c r="BT680" s="2"/>
      <c r="BU680" s="2"/>
    </row>
    <row r="681" spans="68:73" x14ac:dyDescent="0.25">
      <c r="BP681" s="2"/>
      <c r="BQ681" s="2"/>
      <c r="BR681" s="2"/>
      <c r="BS681" s="2"/>
      <c r="BT681" s="2"/>
      <c r="BU681" s="2"/>
    </row>
    <row r="682" spans="68:73" x14ac:dyDescent="0.25">
      <c r="BP682" s="2"/>
      <c r="BQ682" s="2"/>
      <c r="BR682" s="2"/>
      <c r="BS682" s="2"/>
      <c r="BT682" s="2"/>
      <c r="BU682" s="2"/>
    </row>
    <row r="683" spans="68:73" x14ac:dyDescent="0.25">
      <c r="BP683" s="2"/>
      <c r="BQ683" s="2"/>
      <c r="BR683" s="2"/>
      <c r="BS683" s="2"/>
      <c r="BT683" s="2"/>
      <c r="BU683" s="2"/>
    </row>
    <row r="684" spans="68:73" x14ac:dyDescent="0.25">
      <c r="BP684" s="2"/>
      <c r="BQ684" s="2"/>
      <c r="BR684" s="2"/>
      <c r="BS684" s="2"/>
      <c r="BT684" s="2"/>
      <c r="BU684" s="2"/>
    </row>
    <row r="685" spans="68:73" x14ac:dyDescent="0.25">
      <c r="BP685" s="2"/>
      <c r="BQ685" s="2"/>
      <c r="BR685" s="2"/>
      <c r="BS685" s="2"/>
      <c r="BT685" s="2"/>
      <c r="BU685" s="2"/>
    </row>
    <row r="686" spans="68:73" x14ac:dyDescent="0.25">
      <c r="BP686" s="2"/>
      <c r="BQ686" s="2"/>
      <c r="BR686" s="2"/>
      <c r="BS686" s="2"/>
      <c r="BT686" s="2"/>
      <c r="BU686" s="2"/>
    </row>
    <row r="687" spans="68:73" x14ac:dyDescent="0.25">
      <c r="BP687" s="2"/>
      <c r="BQ687" s="2"/>
      <c r="BR687" s="2"/>
      <c r="BS687" s="2"/>
      <c r="BT687" s="2"/>
      <c r="BU687" s="2"/>
    </row>
    <row r="688" spans="68:73" x14ac:dyDescent="0.25">
      <c r="BP688" s="2"/>
      <c r="BQ688" s="2"/>
      <c r="BR688" s="2"/>
      <c r="BS688" s="2"/>
      <c r="BT688" s="2"/>
      <c r="BU688" s="2"/>
    </row>
    <row r="689" spans="68:73" x14ac:dyDescent="0.25">
      <c r="BP689" s="2"/>
      <c r="BQ689" s="2"/>
      <c r="BR689" s="2"/>
      <c r="BS689" s="2"/>
      <c r="BT689" s="2"/>
      <c r="BU689" s="2"/>
    </row>
    <row r="690" spans="68:73" x14ac:dyDescent="0.25">
      <c r="BP690" s="2"/>
      <c r="BQ690" s="2"/>
      <c r="BR690" s="2"/>
      <c r="BS690" s="2"/>
      <c r="BT690" s="2"/>
      <c r="BU690" s="2"/>
    </row>
    <row r="691" spans="68:73" x14ac:dyDescent="0.25">
      <c r="BP691" s="2"/>
      <c r="BQ691" s="2"/>
      <c r="BR691" s="2"/>
      <c r="BS691" s="2"/>
      <c r="BT691" s="2"/>
      <c r="BU691" s="2"/>
    </row>
    <row r="692" spans="68:73" x14ac:dyDescent="0.25">
      <c r="BP692" s="2"/>
      <c r="BQ692" s="2"/>
      <c r="BR692" s="2"/>
      <c r="BS692" s="2"/>
      <c r="BT692" s="2"/>
      <c r="BU692" s="2"/>
    </row>
    <row r="693" spans="68:73" x14ac:dyDescent="0.25">
      <c r="BP693" s="2"/>
      <c r="BQ693" s="2"/>
      <c r="BR693" s="2"/>
      <c r="BS693" s="2"/>
      <c r="BT693" s="2"/>
      <c r="BU693" s="2"/>
    </row>
    <row r="694" spans="68:73" x14ac:dyDescent="0.25">
      <c r="BP694" s="2"/>
      <c r="BQ694" s="2"/>
      <c r="BR694" s="2"/>
      <c r="BS694" s="2"/>
      <c r="BT694" s="2"/>
      <c r="BU694" s="2"/>
    </row>
    <row r="695" spans="68:73" x14ac:dyDescent="0.25">
      <c r="BP695" s="2"/>
      <c r="BQ695" s="2"/>
      <c r="BR695" s="2"/>
      <c r="BS695" s="2"/>
      <c r="BT695" s="2"/>
      <c r="BU695" s="2"/>
    </row>
    <row r="696" spans="68:73" x14ac:dyDescent="0.25">
      <c r="BP696" s="2"/>
      <c r="BQ696" s="2"/>
      <c r="BR696" s="2"/>
      <c r="BS696" s="2"/>
      <c r="BT696" s="2"/>
      <c r="BU696" s="2"/>
    </row>
    <row r="697" spans="68:73" x14ac:dyDescent="0.25">
      <c r="BP697" s="2"/>
      <c r="BQ697" s="2"/>
      <c r="BR697" s="2"/>
      <c r="BS697" s="2"/>
      <c r="BT697" s="2"/>
      <c r="BU697" s="2"/>
    </row>
    <row r="698" spans="68:73" x14ac:dyDescent="0.25">
      <c r="BP698" s="2"/>
      <c r="BQ698" s="2"/>
      <c r="BR698" s="2"/>
      <c r="BS698" s="2"/>
      <c r="BT698" s="2"/>
      <c r="BU698" s="2"/>
    </row>
    <row r="699" spans="68:73" x14ac:dyDescent="0.25">
      <c r="BP699" s="2"/>
      <c r="BQ699" s="2"/>
      <c r="BR699" s="2"/>
      <c r="BS699" s="2"/>
      <c r="BT699" s="2"/>
      <c r="BU699" s="2"/>
    </row>
    <row r="700" spans="68:73" x14ac:dyDescent="0.25">
      <c r="BP700" s="2"/>
      <c r="BQ700" s="2"/>
      <c r="BR700" s="2"/>
      <c r="BS700" s="2"/>
      <c r="BT700" s="2"/>
      <c r="BU700" s="2"/>
    </row>
    <row r="701" spans="68:73" x14ac:dyDescent="0.25">
      <c r="BP701" s="2"/>
      <c r="BQ701" s="2"/>
      <c r="BR701" s="2"/>
      <c r="BS701" s="2"/>
      <c r="BT701" s="2"/>
      <c r="BU701" s="2"/>
    </row>
    <row r="702" spans="68:73" x14ac:dyDescent="0.25">
      <c r="BP702" s="2"/>
      <c r="BQ702" s="2"/>
      <c r="BR702" s="2"/>
      <c r="BS702" s="2"/>
      <c r="BT702" s="2"/>
      <c r="BU702" s="2"/>
    </row>
    <row r="703" spans="68:73" x14ac:dyDescent="0.25">
      <c r="BP703" s="2"/>
      <c r="BQ703" s="2"/>
      <c r="BR703" s="2"/>
      <c r="BS703" s="2"/>
      <c r="BT703" s="2"/>
      <c r="BU703" s="2"/>
    </row>
    <row r="704" spans="68:73" x14ac:dyDescent="0.25">
      <c r="BP704" s="2"/>
      <c r="BQ704" s="2"/>
      <c r="BR704" s="2"/>
      <c r="BS704" s="2"/>
      <c r="BT704" s="2"/>
      <c r="BU704" s="2"/>
    </row>
    <row r="705" spans="68:73" x14ac:dyDescent="0.25">
      <c r="BP705" s="2"/>
      <c r="BQ705" s="2"/>
      <c r="BR705" s="2"/>
      <c r="BS705" s="2"/>
      <c r="BT705" s="2"/>
      <c r="BU705" s="2"/>
    </row>
    <row r="706" spans="68:73" x14ac:dyDescent="0.25">
      <c r="BP706" s="2"/>
      <c r="BQ706" s="2"/>
      <c r="BR706" s="2"/>
      <c r="BS706" s="2"/>
      <c r="BT706" s="2"/>
      <c r="BU706" s="2"/>
    </row>
    <row r="707" spans="68:73" x14ac:dyDescent="0.25">
      <c r="BP707" s="2"/>
      <c r="BQ707" s="2"/>
      <c r="BR707" s="2"/>
      <c r="BS707" s="2"/>
      <c r="BT707" s="2"/>
      <c r="BU707" s="2"/>
    </row>
    <row r="708" spans="68:73" x14ac:dyDescent="0.25">
      <c r="BP708" s="2"/>
      <c r="BQ708" s="2"/>
      <c r="BR708" s="2"/>
      <c r="BS708" s="2"/>
      <c r="BT708" s="2"/>
      <c r="BU708" s="2"/>
    </row>
    <row r="709" spans="68:73" x14ac:dyDescent="0.25">
      <c r="BP709" s="2"/>
      <c r="BQ709" s="2"/>
      <c r="BR709" s="2"/>
      <c r="BS709" s="2"/>
      <c r="BT709" s="2"/>
      <c r="BU709" s="2"/>
    </row>
    <row r="710" spans="68:73" x14ac:dyDescent="0.25">
      <c r="BP710" s="2"/>
      <c r="BQ710" s="2"/>
      <c r="BR710" s="2"/>
      <c r="BS710" s="2"/>
      <c r="BT710" s="2"/>
      <c r="BU710" s="2"/>
    </row>
    <row r="711" spans="68:73" x14ac:dyDescent="0.25">
      <c r="BP711" s="2"/>
      <c r="BQ711" s="2"/>
      <c r="BR711" s="2"/>
      <c r="BS711" s="2"/>
      <c r="BT711" s="2"/>
      <c r="BU711" s="2"/>
    </row>
    <row r="712" spans="68:73" x14ac:dyDescent="0.25">
      <c r="BP712" s="2"/>
      <c r="BQ712" s="2"/>
      <c r="BR712" s="2"/>
      <c r="BS712" s="2"/>
      <c r="BT712" s="2"/>
      <c r="BU712" s="2"/>
    </row>
    <row r="713" spans="68:73" x14ac:dyDescent="0.25">
      <c r="BP713" s="2"/>
      <c r="BQ713" s="2"/>
      <c r="BR713" s="2"/>
      <c r="BS713" s="2"/>
      <c r="BT713" s="2"/>
      <c r="BU713" s="2"/>
    </row>
    <row r="714" spans="68:73" x14ac:dyDescent="0.25">
      <c r="BP714" s="2"/>
      <c r="BQ714" s="2"/>
      <c r="BR714" s="2"/>
      <c r="BS714" s="2"/>
      <c r="BT714" s="2"/>
      <c r="BU714" s="2"/>
    </row>
    <row r="715" spans="68:73" x14ac:dyDescent="0.25">
      <c r="BP715" s="2"/>
      <c r="BQ715" s="2"/>
      <c r="BR715" s="2"/>
      <c r="BS715" s="2"/>
      <c r="BT715" s="2"/>
      <c r="BU715" s="2"/>
    </row>
    <row r="716" spans="68:73" x14ac:dyDescent="0.25">
      <c r="BP716" s="2"/>
      <c r="BQ716" s="2"/>
      <c r="BR716" s="2"/>
      <c r="BS716" s="2"/>
      <c r="BT716" s="2"/>
      <c r="BU716" s="2"/>
    </row>
    <row r="717" spans="68:73" x14ac:dyDescent="0.25">
      <c r="BP717" s="2"/>
      <c r="BQ717" s="2"/>
      <c r="BR717" s="2"/>
      <c r="BS717" s="2"/>
      <c r="BT717" s="2"/>
      <c r="BU717" s="2"/>
    </row>
    <row r="718" spans="68:73" x14ac:dyDescent="0.25">
      <c r="BP718" s="2"/>
      <c r="BQ718" s="2"/>
      <c r="BR718" s="2"/>
      <c r="BS718" s="2"/>
      <c r="BT718" s="2"/>
      <c r="BU718" s="2"/>
    </row>
    <row r="719" spans="68:73" x14ac:dyDescent="0.25">
      <c r="BP719" s="2"/>
      <c r="BQ719" s="2"/>
      <c r="BR719" s="2"/>
      <c r="BS719" s="2"/>
      <c r="BT719" s="2"/>
      <c r="BU719" s="2"/>
    </row>
    <row r="720" spans="68:73" x14ac:dyDescent="0.25">
      <c r="BP720" s="2"/>
      <c r="BQ720" s="2"/>
      <c r="BR720" s="2"/>
      <c r="BS720" s="2"/>
      <c r="BT720" s="2"/>
      <c r="BU720" s="2"/>
    </row>
    <row r="721" spans="68:73" x14ac:dyDescent="0.25">
      <c r="BP721" s="2"/>
      <c r="BQ721" s="2"/>
      <c r="BR721" s="2"/>
      <c r="BS721" s="2"/>
      <c r="BT721" s="2"/>
      <c r="BU721" s="2"/>
    </row>
    <row r="722" spans="68:73" x14ac:dyDescent="0.25">
      <c r="BP722" s="2"/>
      <c r="BQ722" s="2"/>
      <c r="BR722" s="2"/>
      <c r="BS722" s="2"/>
      <c r="BT722" s="2"/>
      <c r="BU722" s="2"/>
    </row>
    <row r="723" spans="68:73" x14ac:dyDescent="0.25">
      <c r="BP723" s="2"/>
      <c r="BQ723" s="2"/>
      <c r="BR723" s="2"/>
      <c r="BS723" s="2"/>
      <c r="BT723" s="2"/>
      <c r="BU723" s="2"/>
    </row>
    <row r="724" spans="68:73" x14ac:dyDescent="0.25">
      <c r="BP724" s="2"/>
      <c r="BQ724" s="2"/>
      <c r="BR724" s="2"/>
      <c r="BS724" s="2"/>
      <c r="BT724" s="2"/>
      <c r="BU724" s="2"/>
    </row>
    <row r="725" spans="68:73" x14ac:dyDescent="0.25">
      <c r="BP725" s="2"/>
      <c r="BQ725" s="2"/>
      <c r="BR725" s="2"/>
      <c r="BS725" s="2"/>
      <c r="BT725" s="2"/>
      <c r="BU725" s="2"/>
    </row>
    <row r="726" spans="68:73" x14ac:dyDescent="0.25">
      <c r="BP726" s="2"/>
      <c r="BQ726" s="2"/>
      <c r="BR726" s="2"/>
      <c r="BS726" s="2"/>
      <c r="BT726" s="2"/>
      <c r="BU726" s="2"/>
    </row>
    <row r="727" spans="68:73" x14ac:dyDescent="0.25">
      <c r="BP727" s="2"/>
      <c r="BQ727" s="2"/>
      <c r="BR727" s="2"/>
      <c r="BS727" s="2"/>
      <c r="BT727" s="2"/>
      <c r="BU727" s="2"/>
    </row>
    <row r="728" spans="68:73" x14ac:dyDescent="0.25">
      <c r="BP728" s="2"/>
      <c r="BQ728" s="2"/>
      <c r="BR728" s="2"/>
      <c r="BS728" s="2"/>
      <c r="BT728" s="2"/>
      <c r="BU728" s="2"/>
    </row>
    <row r="729" spans="68:73" x14ac:dyDescent="0.25">
      <c r="BP729" s="2"/>
      <c r="BQ729" s="2"/>
      <c r="BR729" s="2"/>
      <c r="BS729" s="2"/>
      <c r="BT729" s="2"/>
      <c r="BU729" s="2"/>
    </row>
    <row r="730" spans="68:73" x14ac:dyDescent="0.25">
      <c r="BP730" s="2"/>
      <c r="BQ730" s="2"/>
      <c r="BR730" s="2"/>
      <c r="BS730" s="2"/>
      <c r="BT730" s="2"/>
      <c r="BU730" s="2"/>
    </row>
    <row r="731" spans="68:73" x14ac:dyDescent="0.25">
      <c r="BP731" s="2"/>
      <c r="BQ731" s="2"/>
      <c r="BR731" s="2"/>
      <c r="BS731" s="2"/>
      <c r="BT731" s="2"/>
      <c r="BU731" s="2"/>
    </row>
    <row r="732" spans="68:73" x14ac:dyDescent="0.25">
      <c r="BP732" s="2"/>
      <c r="BQ732" s="2"/>
      <c r="BR732" s="2"/>
      <c r="BS732" s="2"/>
      <c r="BT732" s="2"/>
      <c r="BU732" s="2"/>
    </row>
    <row r="733" spans="68:73" x14ac:dyDescent="0.25">
      <c r="BP733" s="2"/>
      <c r="BQ733" s="2"/>
      <c r="BR733" s="2"/>
      <c r="BS733" s="2"/>
      <c r="BT733" s="2"/>
      <c r="BU733" s="2"/>
    </row>
    <row r="734" spans="68:73" x14ac:dyDescent="0.25">
      <c r="BP734" s="2"/>
      <c r="BQ734" s="2"/>
      <c r="BR734" s="2"/>
      <c r="BS734" s="2"/>
      <c r="BT734" s="2"/>
      <c r="BU734" s="2"/>
    </row>
    <row r="735" spans="68:73" x14ac:dyDescent="0.25">
      <c r="BP735" s="2"/>
      <c r="BQ735" s="2"/>
      <c r="BR735" s="2"/>
      <c r="BS735" s="2"/>
      <c r="BT735" s="2"/>
      <c r="BU735" s="2"/>
    </row>
    <row r="736" spans="68:73" x14ac:dyDescent="0.25">
      <c r="BP736" s="2"/>
      <c r="BQ736" s="2"/>
      <c r="BR736" s="2"/>
      <c r="BS736" s="2"/>
      <c r="BT736" s="2"/>
      <c r="BU736" s="2"/>
    </row>
    <row r="737" spans="68:73" x14ac:dyDescent="0.25">
      <c r="BP737" s="2"/>
      <c r="BQ737" s="2"/>
      <c r="BR737" s="2"/>
      <c r="BS737" s="2"/>
      <c r="BT737" s="2"/>
      <c r="BU737" s="2"/>
    </row>
    <row r="738" spans="68:73" x14ac:dyDescent="0.25">
      <c r="BP738" s="2"/>
      <c r="BQ738" s="2"/>
      <c r="BR738" s="2"/>
      <c r="BS738" s="2"/>
      <c r="BT738" s="2"/>
      <c r="BU738" s="2"/>
    </row>
    <row r="739" spans="68:73" x14ac:dyDescent="0.25">
      <c r="BP739" s="2"/>
      <c r="BQ739" s="2"/>
      <c r="BR739" s="2"/>
      <c r="BS739" s="2"/>
      <c r="BT739" s="2"/>
      <c r="BU739" s="2"/>
    </row>
    <row r="740" spans="68:73" x14ac:dyDescent="0.25">
      <c r="BP740" s="2"/>
      <c r="BQ740" s="2"/>
      <c r="BR740" s="2"/>
      <c r="BS740" s="2"/>
      <c r="BT740" s="2"/>
      <c r="BU740" s="2"/>
    </row>
    <row r="741" spans="68:73" x14ac:dyDescent="0.25">
      <c r="BP741" s="2"/>
      <c r="BQ741" s="2"/>
      <c r="BR741" s="2"/>
      <c r="BS741" s="2"/>
      <c r="BT741" s="2"/>
      <c r="BU741" s="2"/>
    </row>
    <row r="742" spans="68:73" x14ac:dyDescent="0.25">
      <c r="BP742" s="2"/>
      <c r="BQ742" s="2"/>
      <c r="BR742" s="2"/>
      <c r="BS742" s="2"/>
      <c r="BT742" s="2"/>
      <c r="BU742" s="2"/>
    </row>
    <row r="743" spans="68:73" x14ac:dyDescent="0.25">
      <c r="BP743" s="2"/>
      <c r="BQ743" s="2"/>
      <c r="BR743" s="2"/>
      <c r="BS743" s="2"/>
      <c r="BT743" s="2"/>
      <c r="BU743" s="2"/>
    </row>
    <row r="744" spans="68:73" x14ac:dyDescent="0.25">
      <c r="BP744" s="2"/>
      <c r="BQ744" s="2"/>
      <c r="BR744" s="2"/>
      <c r="BS744" s="2"/>
      <c r="BT744" s="2"/>
      <c r="BU744" s="2"/>
    </row>
    <row r="745" spans="68:73" x14ac:dyDescent="0.25">
      <c r="BP745" s="2"/>
      <c r="BQ745" s="2"/>
      <c r="BR745" s="2"/>
      <c r="BS745" s="2"/>
      <c r="BT745" s="2"/>
      <c r="BU745" s="2"/>
    </row>
    <row r="746" spans="68:73" x14ac:dyDescent="0.25">
      <c r="BP746" s="2"/>
      <c r="BQ746" s="2"/>
      <c r="BR746" s="2"/>
      <c r="BS746" s="2"/>
      <c r="BT746" s="2"/>
      <c r="BU746" s="2"/>
    </row>
    <row r="747" spans="68:73" x14ac:dyDescent="0.25">
      <c r="BP747" s="2"/>
      <c r="BQ747" s="2"/>
      <c r="BR747" s="2"/>
      <c r="BS747" s="2"/>
      <c r="BT747" s="2"/>
      <c r="BU747" s="2"/>
    </row>
    <row r="748" spans="68:73" x14ac:dyDescent="0.25">
      <c r="BP748" s="2"/>
      <c r="BQ748" s="2"/>
      <c r="BR748" s="2"/>
      <c r="BS748" s="2"/>
      <c r="BT748" s="2"/>
      <c r="BU748" s="2"/>
    </row>
    <row r="749" spans="68:73" x14ac:dyDescent="0.25">
      <c r="BP749" s="2"/>
      <c r="BQ749" s="2"/>
      <c r="BR749" s="2"/>
      <c r="BS749" s="2"/>
      <c r="BT749" s="2"/>
      <c r="BU749" s="2"/>
    </row>
    <row r="750" spans="68:73" x14ac:dyDescent="0.25">
      <c r="BP750" s="2"/>
      <c r="BQ750" s="2"/>
      <c r="BR750" s="2"/>
      <c r="BS750" s="2"/>
      <c r="BT750" s="2"/>
      <c r="BU750" s="2"/>
    </row>
    <row r="751" spans="68:73" x14ac:dyDescent="0.25">
      <c r="BP751" s="2"/>
      <c r="BQ751" s="2"/>
      <c r="BR751" s="2"/>
      <c r="BS751" s="2"/>
      <c r="BT751" s="2"/>
      <c r="BU751" s="2"/>
    </row>
    <row r="752" spans="68:73" x14ac:dyDescent="0.25">
      <c r="BP752" s="2"/>
      <c r="BQ752" s="2"/>
      <c r="BR752" s="2"/>
      <c r="BS752" s="2"/>
      <c r="BT752" s="2"/>
      <c r="BU752" s="2"/>
    </row>
    <row r="753" spans="68:73" x14ac:dyDescent="0.25">
      <c r="BP753" s="2"/>
      <c r="BQ753" s="2"/>
      <c r="BR753" s="2"/>
      <c r="BS753" s="2"/>
      <c r="BT753" s="2"/>
      <c r="BU753" s="2"/>
    </row>
    <row r="754" spans="68:73" x14ac:dyDescent="0.25">
      <c r="BP754" s="2"/>
      <c r="BQ754" s="2"/>
      <c r="BR754" s="2"/>
      <c r="BS754" s="2"/>
      <c r="BT754" s="2"/>
      <c r="BU754" s="2"/>
    </row>
    <row r="755" spans="68:73" x14ac:dyDescent="0.25">
      <c r="BP755" s="2"/>
      <c r="BQ755" s="2"/>
      <c r="BR755" s="2"/>
      <c r="BS755" s="2"/>
      <c r="BT755" s="2"/>
      <c r="BU755" s="2"/>
    </row>
    <row r="756" spans="68:73" x14ac:dyDescent="0.25">
      <c r="BP756" s="2"/>
      <c r="BQ756" s="2"/>
      <c r="BR756" s="2"/>
      <c r="BS756" s="2"/>
      <c r="BT756" s="2"/>
      <c r="BU756" s="2"/>
    </row>
    <row r="757" spans="68:73" x14ac:dyDescent="0.25">
      <c r="BP757" s="2"/>
      <c r="BQ757" s="2"/>
      <c r="BR757" s="2"/>
      <c r="BS757" s="2"/>
      <c r="BT757" s="2"/>
      <c r="BU757" s="2"/>
    </row>
    <row r="758" spans="68:73" x14ac:dyDescent="0.25">
      <c r="BP758" s="2"/>
      <c r="BQ758" s="2"/>
      <c r="BR758" s="2"/>
      <c r="BS758" s="2"/>
      <c r="BT758" s="2"/>
      <c r="BU758" s="2"/>
    </row>
    <row r="759" spans="68:73" x14ac:dyDescent="0.25">
      <c r="BP759" s="2"/>
      <c r="BQ759" s="2"/>
      <c r="BR759" s="2"/>
      <c r="BS759" s="2"/>
      <c r="BT759" s="2"/>
      <c r="BU759" s="2"/>
    </row>
    <row r="760" spans="68:73" x14ac:dyDescent="0.25">
      <c r="BP760" s="2"/>
      <c r="BQ760" s="2"/>
      <c r="BR760" s="2"/>
      <c r="BS760" s="2"/>
      <c r="BT760" s="2"/>
      <c r="BU760" s="2"/>
    </row>
    <row r="761" spans="68:73" x14ac:dyDescent="0.25">
      <c r="BP761" s="2"/>
      <c r="BQ761" s="2"/>
      <c r="BR761" s="2"/>
      <c r="BS761" s="2"/>
      <c r="BT761" s="2"/>
      <c r="BU761" s="2"/>
    </row>
    <row r="762" spans="68:73" x14ac:dyDescent="0.25">
      <c r="BP762" s="2"/>
      <c r="BQ762" s="2"/>
      <c r="BR762" s="2"/>
      <c r="BS762" s="2"/>
      <c r="BT762" s="2"/>
      <c r="BU762" s="2"/>
    </row>
    <row r="763" spans="68:73" x14ac:dyDescent="0.25">
      <c r="BP763" s="2"/>
      <c r="BQ763" s="2"/>
      <c r="BR763" s="2"/>
      <c r="BS763" s="2"/>
      <c r="BT763" s="2"/>
      <c r="BU763" s="2"/>
    </row>
    <row r="764" spans="68:73" x14ac:dyDescent="0.25">
      <c r="BP764" s="2"/>
      <c r="BQ764" s="2"/>
      <c r="BR764" s="2"/>
      <c r="BS764" s="2"/>
      <c r="BT764" s="2"/>
      <c r="BU764" s="2"/>
    </row>
    <row r="765" spans="68:73" x14ac:dyDescent="0.25">
      <c r="BP765" s="2"/>
      <c r="BQ765" s="2"/>
      <c r="BR765" s="2"/>
      <c r="BS765" s="2"/>
      <c r="BT765" s="2"/>
      <c r="BU765" s="2"/>
    </row>
    <row r="766" spans="68:73" x14ac:dyDescent="0.25">
      <c r="BP766" s="2"/>
      <c r="BQ766" s="2"/>
      <c r="BR766" s="2"/>
      <c r="BS766" s="2"/>
      <c r="BT766" s="2"/>
      <c r="BU766" s="2"/>
    </row>
    <row r="767" spans="68:73" x14ac:dyDescent="0.25">
      <c r="BP767" s="2"/>
      <c r="BQ767" s="2"/>
      <c r="BR767" s="2"/>
      <c r="BS767" s="2"/>
      <c r="BT767" s="2"/>
      <c r="BU767" s="2"/>
    </row>
    <row r="768" spans="68:73" x14ac:dyDescent="0.25">
      <c r="BP768" s="2"/>
      <c r="BQ768" s="2"/>
      <c r="BR768" s="2"/>
      <c r="BS768" s="2"/>
      <c r="BT768" s="2"/>
      <c r="BU768" s="2"/>
    </row>
    <row r="769" spans="68:73" x14ac:dyDescent="0.25">
      <c r="BP769" s="2"/>
      <c r="BQ769" s="2"/>
      <c r="BR769" s="2"/>
      <c r="BS769" s="2"/>
      <c r="BT769" s="2"/>
      <c r="BU769" s="2"/>
    </row>
    <row r="770" spans="68:73" x14ac:dyDescent="0.25">
      <c r="BP770" s="2"/>
      <c r="BQ770" s="2"/>
      <c r="BR770" s="2"/>
      <c r="BS770" s="2"/>
      <c r="BT770" s="2"/>
      <c r="BU770" s="2"/>
    </row>
    <row r="771" spans="68:73" x14ac:dyDescent="0.25">
      <c r="BP771" s="2"/>
      <c r="BQ771" s="2"/>
      <c r="BR771" s="2"/>
      <c r="BS771" s="2"/>
      <c r="BT771" s="2"/>
      <c r="BU771" s="2"/>
    </row>
    <row r="772" spans="68:73" x14ac:dyDescent="0.25">
      <c r="BP772" s="2"/>
      <c r="BQ772" s="2"/>
      <c r="BR772" s="2"/>
      <c r="BS772" s="2"/>
      <c r="BT772" s="2"/>
      <c r="BU772" s="2"/>
    </row>
    <row r="773" spans="68:73" x14ac:dyDescent="0.25">
      <c r="BP773" s="2"/>
      <c r="BQ773" s="2"/>
      <c r="BR773" s="2"/>
      <c r="BS773" s="2"/>
      <c r="BT773" s="2"/>
      <c r="BU773" s="2"/>
    </row>
    <row r="774" spans="68:73" x14ac:dyDescent="0.25">
      <c r="BP774" s="2"/>
      <c r="BQ774" s="2"/>
      <c r="BR774" s="2"/>
      <c r="BS774" s="2"/>
      <c r="BT774" s="2"/>
      <c r="BU774" s="2"/>
    </row>
    <row r="775" spans="68:73" x14ac:dyDescent="0.25">
      <c r="BP775" s="2"/>
      <c r="BQ775" s="2"/>
      <c r="BR775" s="2"/>
      <c r="BS775" s="2"/>
      <c r="BT775" s="2"/>
      <c r="BU775" s="2"/>
    </row>
    <row r="776" spans="68:73" x14ac:dyDescent="0.25">
      <c r="BP776" s="2"/>
      <c r="BQ776" s="2"/>
      <c r="BR776" s="2"/>
      <c r="BS776" s="2"/>
      <c r="BT776" s="2"/>
      <c r="BU776" s="2"/>
    </row>
    <row r="777" spans="68:73" x14ac:dyDescent="0.25">
      <c r="BP777" s="2"/>
      <c r="BQ777" s="2"/>
      <c r="BR777" s="2"/>
      <c r="BS777" s="2"/>
      <c r="BT777" s="2"/>
      <c r="BU777" s="2"/>
    </row>
    <row r="778" spans="68:73" x14ac:dyDescent="0.25">
      <c r="BP778" s="2"/>
      <c r="BQ778" s="2"/>
      <c r="BR778" s="2"/>
      <c r="BS778" s="2"/>
      <c r="BT778" s="2"/>
      <c r="BU778" s="2"/>
    </row>
    <row r="779" spans="68:73" x14ac:dyDescent="0.25">
      <c r="BP779" s="2"/>
      <c r="BQ779" s="2"/>
      <c r="BR779" s="2"/>
      <c r="BS779" s="2"/>
      <c r="BT779" s="2"/>
      <c r="BU779" s="2"/>
    </row>
    <row r="780" spans="68:73" x14ac:dyDescent="0.25">
      <c r="BP780" s="2"/>
      <c r="BQ780" s="2"/>
      <c r="BR780" s="2"/>
      <c r="BS780" s="2"/>
      <c r="BT780" s="2"/>
      <c r="BU780" s="2"/>
    </row>
    <row r="781" spans="68:73" x14ac:dyDescent="0.25">
      <c r="BP781" s="2"/>
      <c r="BQ781" s="2"/>
      <c r="BR781" s="2"/>
      <c r="BS781" s="2"/>
      <c r="BT781" s="2"/>
      <c r="BU781" s="2"/>
    </row>
    <row r="782" spans="68:73" x14ac:dyDescent="0.25">
      <c r="BP782" s="2"/>
      <c r="BQ782" s="2"/>
      <c r="BR782" s="2"/>
      <c r="BS782" s="2"/>
      <c r="BT782" s="2"/>
      <c r="BU782" s="2"/>
    </row>
    <row r="783" spans="68:73" x14ac:dyDescent="0.25">
      <c r="BP783" s="2"/>
      <c r="BQ783" s="2"/>
      <c r="BR783" s="2"/>
      <c r="BS783" s="2"/>
      <c r="BT783" s="2"/>
      <c r="BU783" s="2"/>
    </row>
    <row r="784" spans="68:73" x14ac:dyDescent="0.25">
      <c r="BP784" s="2"/>
      <c r="BQ784" s="2"/>
      <c r="BR784" s="2"/>
      <c r="BS784" s="2"/>
      <c r="BT784" s="2"/>
      <c r="BU784" s="2"/>
    </row>
    <row r="785" spans="68:73" x14ac:dyDescent="0.25">
      <c r="BP785" s="2"/>
      <c r="BQ785" s="2"/>
      <c r="BR785" s="2"/>
      <c r="BS785" s="2"/>
      <c r="BT785" s="2"/>
      <c r="BU785" s="2"/>
    </row>
    <row r="786" spans="68:73" x14ac:dyDescent="0.25">
      <c r="BP786" s="2"/>
      <c r="BQ786" s="2"/>
      <c r="BR786" s="2"/>
      <c r="BS786" s="2"/>
      <c r="BT786" s="2"/>
      <c r="BU786" s="2"/>
    </row>
    <row r="787" spans="68:73" x14ac:dyDescent="0.25">
      <c r="BP787" s="2"/>
      <c r="BQ787" s="2"/>
      <c r="BR787" s="2"/>
      <c r="BS787" s="2"/>
      <c r="BT787" s="2"/>
      <c r="BU787" s="2"/>
    </row>
    <row r="788" spans="68:73" x14ac:dyDescent="0.25">
      <c r="BP788" s="2"/>
      <c r="BQ788" s="2"/>
      <c r="BR788" s="2"/>
      <c r="BS788" s="2"/>
      <c r="BT788" s="2"/>
      <c r="BU788" s="2"/>
    </row>
    <row r="789" spans="68:73" x14ac:dyDescent="0.25">
      <c r="BP789" s="2"/>
      <c r="BQ789" s="2"/>
      <c r="BR789" s="2"/>
      <c r="BS789" s="2"/>
      <c r="BT789" s="2"/>
      <c r="BU789" s="2"/>
    </row>
    <row r="790" spans="68:73" x14ac:dyDescent="0.25">
      <c r="BP790" s="2"/>
      <c r="BQ790" s="2"/>
      <c r="BR790" s="2"/>
      <c r="BS790" s="2"/>
      <c r="BT790" s="2"/>
      <c r="BU790" s="2"/>
    </row>
    <row r="791" spans="68:73" x14ac:dyDescent="0.25">
      <c r="BP791" s="2"/>
      <c r="BQ791" s="2"/>
      <c r="BR791" s="2"/>
      <c r="BS791" s="2"/>
      <c r="BT791" s="2"/>
      <c r="BU791" s="2"/>
    </row>
    <row r="792" spans="68:73" x14ac:dyDescent="0.25">
      <c r="BP792" s="2"/>
      <c r="BQ792" s="2"/>
      <c r="BR792" s="2"/>
      <c r="BS792" s="2"/>
      <c r="BT792" s="2"/>
      <c r="BU792" s="2"/>
    </row>
    <row r="793" spans="68:73" x14ac:dyDescent="0.25">
      <c r="BP793" s="2"/>
      <c r="BQ793" s="2"/>
      <c r="BR793" s="2"/>
      <c r="BS793" s="2"/>
      <c r="BT793" s="2"/>
      <c r="BU793" s="2"/>
    </row>
    <row r="794" spans="68:73" x14ac:dyDescent="0.25">
      <c r="BP794" s="2"/>
      <c r="BQ794" s="2"/>
      <c r="BR794" s="2"/>
      <c r="BS794" s="2"/>
      <c r="BT794" s="2"/>
      <c r="BU794" s="2"/>
    </row>
    <row r="795" spans="68:73" x14ac:dyDescent="0.25">
      <c r="BP795" s="2"/>
      <c r="BQ795" s="2"/>
      <c r="BR795" s="2"/>
      <c r="BS795" s="2"/>
      <c r="BT795" s="2"/>
      <c r="BU795" s="2"/>
    </row>
    <row r="796" spans="68:73" x14ac:dyDescent="0.25">
      <c r="BP796" s="2"/>
      <c r="BQ796" s="2"/>
      <c r="BR796" s="2"/>
      <c r="BS796" s="2"/>
      <c r="BT796" s="2"/>
      <c r="BU796" s="2"/>
    </row>
    <row r="797" spans="68:73" x14ac:dyDescent="0.25">
      <c r="BP797" s="2"/>
      <c r="BQ797" s="2"/>
      <c r="BR797" s="2"/>
      <c r="BS797" s="2"/>
      <c r="BT797" s="2"/>
      <c r="BU797" s="2"/>
    </row>
    <row r="798" spans="68:73" x14ac:dyDescent="0.25">
      <c r="BP798" s="2"/>
      <c r="BQ798" s="2"/>
      <c r="BR798" s="2"/>
      <c r="BS798" s="2"/>
      <c r="BT798" s="2"/>
      <c r="BU798" s="2"/>
    </row>
    <row r="799" spans="68:73" x14ac:dyDescent="0.25">
      <c r="BP799" s="2"/>
      <c r="BQ799" s="2"/>
      <c r="BR799" s="2"/>
      <c r="BS799" s="2"/>
      <c r="BT799" s="2"/>
      <c r="BU799" s="2"/>
    </row>
    <row r="800" spans="68:73" x14ac:dyDescent="0.25">
      <c r="BP800" s="2"/>
      <c r="BQ800" s="2"/>
      <c r="BR800" s="2"/>
      <c r="BS800" s="2"/>
      <c r="BT800" s="2"/>
      <c r="BU800" s="2"/>
    </row>
    <row r="801" spans="68:73" x14ac:dyDescent="0.25">
      <c r="BP801" s="2"/>
      <c r="BQ801" s="2"/>
      <c r="BR801" s="2"/>
      <c r="BS801" s="2"/>
      <c r="BT801" s="2"/>
      <c r="BU801" s="2"/>
    </row>
    <row r="802" spans="68:73" x14ac:dyDescent="0.25">
      <c r="BP802" s="2"/>
      <c r="BQ802" s="2"/>
      <c r="BR802" s="2"/>
      <c r="BS802" s="2"/>
      <c r="BT802" s="2"/>
      <c r="BU802" s="2"/>
    </row>
    <row r="803" spans="68:73" x14ac:dyDescent="0.25">
      <c r="BP803" s="2"/>
      <c r="BQ803" s="2"/>
      <c r="BR803" s="2"/>
      <c r="BS803" s="2"/>
      <c r="BT803" s="2"/>
      <c r="BU803" s="2"/>
    </row>
    <row r="804" spans="68:73" x14ac:dyDescent="0.25">
      <c r="BP804" s="2"/>
      <c r="BQ804" s="2"/>
      <c r="BR804" s="2"/>
      <c r="BS804" s="2"/>
      <c r="BT804" s="2"/>
      <c r="BU804" s="2"/>
    </row>
    <row r="805" spans="68:73" x14ac:dyDescent="0.25">
      <c r="BP805" s="2"/>
      <c r="BQ805" s="2"/>
      <c r="BR805" s="2"/>
      <c r="BS805" s="2"/>
      <c r="BT805" s="2"/>
      <c r="BU805" s="2"/>
    </row>
    <row r="806" spans="68:73" x14ac:dyDescent="0.25">
      <c r="BP806" s="2"/>
      <c r="BQ806" s="2"/>
      <c r="BR806" s="2"/>
      <c r="BS806" s="2"/>
      <c r="BT806" s="2"/>
      <c r="BU806" s="2"/>
    </row>
    <row r="807" spans="68:73" x14ac:dyDescent="0.25">
      <c r="BP807" s="2"/>
      <c r="BQ807" s="2"/>
      <c r="BR807" s="2"/>
      <c r="BS807" s="2"/>
      <c r="BT807" s="2"/>
      <c r="BU807" s="2"/>
    </row>
    <row r="808" spans="68:73" x14ac:dyDescent="0.25">
      <c r="BP808" s="2"/>
      <c r="BQ808" s="2"/>
      <c r="BR808" s="2"/>
      <c r="BS808" s="2"/>
      <c r="BT808" s="2"/>
      <c r="BU808" s="2"/>
    </row>
    <row r="809" spans="68:73" x14ac:dyDescent="0.25">
      <c r="BP809" s="2"/>
      <c r="BQ809" s="2"/>
      <c r="BR809" s="2"/>
      <c r="BS809" s="2"/>
      <c r="BT809" s="2"/>
      <c r="BU809" s="2"/>
    </row>
    <row r="810" spans="68:73" x14ac:dyDescent="0.25">
      <c r="BP810" s="2"/>
      <c r="BQ810" s="2"/>
      <c r="BR810" s="2"/>
      <c r="BS810" s="2"/>
      <c r="BT810" s="2"/>
      <c r="BU810" s="2"/>
    </row>
    <row r="811" spans="68:73" x14ac:dyDescent="0.25">
      <c r="BP811" s="2"/>
      <c r="BQ811" s="2"/>
      <c r="BR811" s="2"/>
      <c r="BS811" s="2"/>
      <c r="BT811" s="2"/>
      <c r="BU811" s="2"/>
    </row>
    <row r="812" spans="68:73" x14ac:dyDescent="0.25">
      <c r="BP812" s="2"/>
      <c r="BQ812" s="2"/>
      <c r="BR812" s="2"/>
      <c r="BS812" s="2"/>
      <c r="BT812" s="2"/>
      <c r="BU812" s="2"/>
    </row>
    <row r="813" spans="68:73" x14ac:dyDescent="0.25">
      <c r="BP813" s="2"/>
      <c r="BQ813" s="2"/>
      <c r="BR813" s="2"/>
      <c r="BS813" s="2"/>
      <c r="BT813" s="2"/>
      <c r="BU813" s="2"/>
    </row>
    <row r="814" spans="68:73" x14ac:dyDescent="0.25">
      <c r="BP814" s="2"/>
      <c r="BQ814" s="2"/>
      <c r="BR814" s="2"/>
      <c r="BS814" s="2"/>
      <c r="BT814" s="2"/>
      <c r="BU814" s="2"/>
    </row>
    <row r="815" spans="68:73" x14ac:dyDescent="0.25">
      <c r="BP815" s="2"/>
      <c r="BQ815" s="2"/>
      <c r="BR815" s="2"/>
      <c r="BS815" s="2"/>
      <c r="BT815" s="2"/>
      <c r="BU815" s="2"/>
    </row>
    <row r="816" spans="68:73" x14ac:dyDescent="0.25">
      <c r="BP816" s="2"/>
      <c r="BQ816" s="2"/>
      <c r="BR816" s="2"/>
      <c r="BS816" s="2"/>
      <c r="BT816" s="2"/>
      <c r="BU816" s="2"/>
    </row>
    <row r="817" spans="68:73" x14ac:dyDescent="0.25">
      <c r="BP817" s="2"/>
      <c r="BQ817" s="2"/>
      <c r="BR817" s="2"/>
      <c r="BS817" s="2"/>
      <c r="BT817" s="2"/>
      <c r="BU817" s="2"/>
    </row>
    <row r="818" spans="68:73" x14ac:dyDescent="0.25">
      <c r="BP818" s="2"/>
      <c r="BQ818" s="2"/>
      <c r="BR818" s="2"/>
      <c r="BS818" s="2"/>
      <c r="BT818" s="2"/>
      <c r="BU818" s="2"/>
    </row>
    <row r="819" spans="68:73" x14ac:dyDescent="0.25">
      <c r="BP819" s="2"/>
      <c r="BQ819" s="2"/>
      <c r="BR819" s="2"/>
      <c r="BS819" s="2"/>
      <c r="BT819" s="2"/>
      <c r="BU819" s="2"/>
    </row>
    <row r="820" spans="68:73" x14ac:dyDescent="0.25">
      <c r="BP820" s="2"/>
      <c r="BQ820" s="2"/>
      <c r="BR820" s="2"/>
      <c r="BS820" s="2"/>
      <c r="BT820" s="2"/>
      <c r="BU820" s="2"/>
    </row>
    <row r="821" spans="68:73" x14ac:dyDescent="0.25">
      <c r="BP821" s="2"/>
      <c r="BQ821" s="2"/>
      <c r="BR821" s="2"/>
      <c r="BS821" s="2"/>
      <c r="BT821" s="2"/>
      <c r="BU821" s="2"/>
    </row>
    <row r="822" spans="68:73" x14ac:dyDescent="0.25">
      <c r="BP822" s="2"/>
      <c r="BQ822" s="2"/>
      <c r="BR822" s="2"/>
      <c r="BS822" s="2"/>
      <c r="BT822" s="2"/>
      <c r="BU822" s="2"/>
    </row>
    <row r="823" spans="68:73" x14ac:dyDescent="0.25">
      <c r="BP823" s="2"/>
      <c r="BQ823" s="2"/>
      <c r="BR823" s="2"/>
      <c r="BS823" s="2"/>
      <c r="BT823" s="2"/>
      <c r="BU823" s="2"/>
    </row>
    <row r="824" spans="68:73" x14ac:dyDescent="0.25">
      <c r="BP824" s="2"/>
      <c r="BQ824" s="2"/>
      <c r="BR824" s="2"/>
      <c r="BS824" s="2"/>
      <c r="BT824" s="2"/>
      <c r="BU824" s="2"/>
    </row>
    <row r="825" spans="68:73" x14ac:dyDescent="0.25">
      <c r="BP825" s="2"/>
      <c r="BQ825" s="2"/>
      <c r="BR825" s="2"/>
      <c r="BS825" s="2"/>
      <c r="BT825" s="2"/>
      <c r="BU825" s="2"/>
    </row>
    <row r="826" spans="68:73" x14ac:dyDescent="0.25">
      <c r="BP826" s="2"/>
      <c r="BQ826" s="2"/>
      <c r="BR826" s="2"/>
      <c r="BS826" s="2"/>
      <c r="BT826" s="2"/>
      <c r="BU826" s="2"/>
    </row>
    <row r="827" spans="68:73" x14ac:dyDescent="0.25">
      <c r="BP827" s="2"/>
      <c r="BQ827" s="2"/>
      <c r="BR827" s="2"/>
      <c r="BS827" s="2"/>
      <c r="BT827" s="2"/>
      <c r="BU827" s="2"/>
    </row>
    <row r="828" spans="68:73" x14ac:dyDescent="0.25">
      <c r="BP828" s="2"/>
      <c r="BQ828" s="2"/>
      <c r="BR828" s="2"/>
      <c r="BS828" s="2"/>
      <c r="BT828" s="2"/>
      <c r="BU828" s="2"/>
    </row>
    <row r="829" spans="68:73" x14ac:dyDescent="0.25">
      <c r="BP829" s="2"/>
      <c r="BQ829" s="2"/>
      <c r="BR829" s="2"/>
      <c r="BS829" s="2"/>
      <c r="BT829" s="2"/>
      <c r="BU829" s="2"/>
    </row>
    <row r="830" spans="68:73" x14ac:dyDescent="0.25">
      <c r="BP830" s="2"/>
      <c r="BQ830" s="2"/>
      <c r="BR830" s="2"/>
      <c r="BS830" s="2"/>
      <c r="BT830" s="2"/>
      <c r="BU830" s="2"/>
    </row>
    <row r="831" spans="68:73" x14ac:dyDescent="0.25">
      <c r="BP831" s="2"/>
      <c r="BQ831" s="2"/>
      <c r="BR831" s="2"/>
      <c r="BS831" s="2"/>
      <c r="BT831" s="2"/>
      <c r="BU831" s="2"/>
    </row>
    <row r="832" spans="68:73" x14ac:dyDescent="0.25">
      <c r="BP832" s="2"/>
      <c r="BQ832" s="2"/>
      <c r="BR832" s="2"/>
      <c r="BS832" s="2"/>
      <c r="BT832" s="2"/>
      <c r="BU832" s="2"/>
    </row>
    <row r="833" spans="68:73" x14ac:dyDescent="0.25">
      <c r="BP833" s="2"/>
      <c r="BQ833" s="2"/>
      <c r="BR833" s="2"/>
      <c r="BS833" s="2"/>
      <c r="BT833" s="2"/>
      <c r="BU833" s="2"/>
    </row>
    <row r="834" spans="68:73" x14ac:dyDescent="0.25">
      <c r="BP834" s="2"/>
      <c r="BQ834" s="2"/>
      <c r="BR834" s="2"/>
      <c r="BS834" s="2"/>
      <c r="BT834" s="2"/>
      <c r="BU834" s="2"/>
    </row>
    <row r="835" spans="68:73" x14ac:dyDescent="0.25">
      <c r="BP835" s="2"/>
      <c r="BQ835" s="2"/>
      <c r="BR835" s="2"/>
      <c r="BS835" s="2"/>
      <c r="BT835" s="2"/>
      <c r="BU835" s="2"/>
    </row>
    <row r="836" spans="68:73" x14ac:dyDescent="0.25">
      <c r="BP836" s="2"/>
      <c r="BQ836" s="2"/>
      <c r="BR836" s="2"/>
      <c r="BS836" s="2"/>
      <c r="BT836" s="2"/>
      <c r="BU836" s="2"/>
    </row>
    <row r="837" spans="68:73" x14ac:dyDescent="0.25">
      <c r="BP837" s="2"/>
      <c r="BQ837" s="2"/>
      <c r="BR837" s="2"/>
      <c r="BS837" s="2"/>
      <c r="BT837" s="2"/>
      <c r="BU837" s="2"/>
    </row>
    <row r="838" spans="68:73" x14ac:dyDescent="0.25">
      <c r="BP838" s="2"/>
      <c r="BQ838" s="2"/>
      <c r="BR838" s="2"/>
      <c r="BS838" s="2"/>
      <c r="BT838" s="2"/>
      <c r="BU838" s="2"/>
    </row>
    <row r="839" spans="68:73" x14ac:dyDescent="0.25">
      <c r="BP839" s="2"/>
      <c r="BQ839" s="2"/>
      <c r="BR839" s="2"/>
      <c r="BS839" s="2"/>
      <c r="BT839" s="2"/>
      <c r="BU839" s="2"/>
    </row>
    <row r="840" spans="68:73" x14ac:dyDescent="0.25">
      <c r="BP840" s="2"/>
      <c r="BQ840" s="2"/>
      <c r="BR840" s="2"/>
      <c r="BS840" s="2"/>
      <c r="BT840" s="2"/>
      <c r="BU840" s="2"/>
    </row>
    <row r="841" spans="68:73" x14ac:dyDescent="0.25">
      <c r="BP841" s="2"/>
      <c r="BQ841" s="2"/>
      <c r="BR841" s="2"/>
      <c r="BS841" s="2"/>
      <c r="BT841" s="2"/>
      <c r="BU841" s="2"/>
    </row>
    <row r="842" spans="68:73" x14ac:dyDescent="0.25">
      <c r="BP842" s="2"/>
      <c r="BQ842" s="2"/>
      <c r="BR842" s="2"/>
      <c r="BS842" s="2"/>
      <c r="BT842" s="2"/>
      <c r="BU842" s="2"/>
    </row>
    <row r="843" spans="68:73" x14ac:dyDescent="0.25">
      <c r="BP843" s="2"/>
      <c r="BQ843" s="2"/>
      <c r="BR843" s="2"/>
      <c r="BS843" s="2"/>
      <c r="BT843" s="2"/>
      <c r="BU843" s="2"/>
    </row>
    <row r="844" spans="68:73" x14ac:dyDescent="0.25">
      <c r="BP844" s="2"/>
      <c r="BQ844" s="2"/>
      <c r="BR844" s="2"/>
      <c r="BS844" s="2"/>
      <c r="BT844" s="2"/>
      <c r="BU844" s="2"/>
    </row>
    <row r="845" spans="68:73" x14ac:dyDescent="0.25">
      <c r="BP845" s="2"/>
      <c r="BQ845" s="2"/>
      <c r="BR845" s="2"/>
      <c r="BS845" s="2"/>
      <c r="BT845" s="2"/>
      <c r="BU845" s="2"/>
    </row>
    <row r="846" spans="68:73" x14ac:dyDescent="0.25">
      <c r="BP846" s="2"/>
      <c r="BQ846" s="2"/>
      <c r="BR846" s="2"/>
      <c r="BS846" s="2"/>
      <c r="BT846" s="2"/>
      <c r="BU846" s="2"/>
    </row>
    <row r="847" spans="68:73" x14ac:dyDescent="0.25">
      <c r="BP847" s="2"/>
      <c r="BQ847" s="2"/>
      <c r="BR847" s="2"/>
      <c r="BS847" s="2"/>
      <c r="BT847" s="2"/>
      <c r="BU847" s="2"/>
    </row>
    <row r="848" spans="68:73" x14ac:dyDescent="0.25">
      <c r="BP848" s="2"/>
      <c r="BQ848" s="2"/>
      <c r="BR848" s="2"/>
      <c r="BS848" s="2"/>
      <c r="BT848" s="2"/>
      <c r="BU848" s="2"/>
    </row>
    <row r="849" spans="68:73" x14ac:dyDescent="0.25">
      <c r="BP849" s="2"/>
      <c r="BQ849" s="2"/>
      <c r="BR849" s="2"/>
      <c r="BS849" s="2"/>
      <c r="BT849" s="2"/>
      <c r="BU849" s="2"/>
    </row>
    <row r="850" spans="68:73" x14ac:dyDescent="0.25">
      <c r="BP850" s="2"/>
      <c r="BQ850" s="2"/>
      <c r="BR850" s="2"/>
      <c r="BS850" s="2"/>
      <c r="BT850" s="2"/>
      <c r="BU850" s="2"/>
    </row>
    <row r="851" spans="68:73" x14ac:dyDescent="0.25">
      <c r="BP851" s="2"/>
      <c r="BQ851" s="2"/>
      <c r="BR851" s="2"/>
      <c r="BS851" s="2"/>
      <c r="BT851" s="2"/>
      <c r="BU851" s="2"/>
    </row>
    <row r="852" spans="68:73" x14ac:dyDescent="0.25">
      <c r="BP852" s="2"/>
      <c r="BQ852" s="2"/>
      <c r="BR852" s="2"/>
      <c r="BS852" s="2"/>
      <c r="BT852" s="2"/>
      <c r="BU852" s="2"/>
    </row>
    <row r="853" spans="68:73" x14ac:dyDescent="0.25">
      <c r="BP853" s="2"/>
      <c r="BQ853" s="2"/>
      <c r="BR853" s="2"/>
      <c r="BS853" s="2"/>
      <c r="BT853" s="2"/>
      <c r="BU853" s="2"/>
    </row>
    <row r="854" spans="68:73" x14ac:dyDescent="0.25">
      <c r="BP854" s="2"/>
      <c r="BQ854" s="2"/>
      <c r="BR854" s="2"/>
      <c r="BS854" s="2"/>
      <c r="BT854" s="2"/>
      <c r="BU854" s="2"/>
    </row>
    <row r="855" spans="68:73" x14ac:dyDescent="0.25">
      <c r="BP855" s="2"/>
      <c r="BQ855" s="2"/>
      <c r="BR855" s="2"/>
      <c r="BS855" s="2"/>
      <c r="BT855" s="2"/>
      <c r="BU855" s="2"/>
    </row>
    <row r="856" spans="68:73" x14ac:dyDescent="0.25">
      <c r="BP856" s="2"/>
      <c r="BQ856" s="2"/>
      <c r="BR856" s="2"/>
      <c r="BS856" s="2"/>
      <c r="BT856" s="2"/>
      <c r="BU856" s="2"/>
    </row>
    <row r="857" spans="68:73" x14ac:dyDescent="0.25">
      <c r="BP857" s="2"/>
      <c r="BQ857" s="2"/>
      <c r="BR857" s="2"/>
      <c r="BS857" s="2"/>
      <c r="BT857" s="2"/>
      <c r="BU857" s="2"/>
    </row>
    <row r="858" spans="68:73" x14ac:dyDescent="0.25">
      <c r="BP858" s="2"/>
      <c r="BQ858" s="2"/>
      <c r="BR858" s="2"/>
      <c r="BS858" s="2"/>
      <c r="BT858" s="2"/>
      <c r="BU858" s="2"/>
    </row>
    <row r="859" spans="68:73" x14ac:dyDescent="0.25">
      <c r="BP859" s="2"/>
      <c r="BQ859" s="2"/>
      <c r="BR859" s="2"/>
      <c r="BS859" s="2"/>
      <c r="BT859" s="2"/>
      <c r="BU859" s="2"/>
    </row>
    <row r="860" spans="68:73" x14ac:dyDescent="0.25">
      <c r="BP860" s="2"/>
      <c r="BQ860" s="2"/>
      <c r="BR860" s="2"/>
      <c r="BS860" s="2"/>
      <c r="BT860" s="2"/>
      <c r="BU860" s="2"/>
    </row>
    <row r="861" spans="68:73" x14ac:dyDescent="0.25">
      <c r="BP861" s="2"/>
      <c r="BQ861" s="2"/>
      <c r="BR861" s="2"/>
      <c r="BS861" s="2"/>
      <c r="BT861" s="2"/>
      <c r="BU861" s="2"/>
    </row>
    <row r="862" spans="68:73" x14ac:dyDescent="0.25">
      <c r="BP862" s="2"/>
      <c r="BQ862" s="2"/>
      <c r="BR862" s="2"/>
      <c r="BS862" s="2"/>
      <c r="BT862" s="2"/>
      <c r="BU862" s="2"/>
    </row>
    <row r="863" spans="68:73" x14ac:dyDescent="0.25">
      <c r="BP863" s="2"/>
      <c r="BQ863" s="2"/>
      <c r="BR863" s="2"/>
      <c r="BS863" s="2"/>
      <c r="BT863" s="2"/>
      <c r="BU863" s="2"/>
    </row>
    <row r="864" spans="68:73" x14ac:dyDescent="0.25">
      <c r="BP864" s="2"/>
      <c r="BQ864" s="2"/>
      <c r="BR864" s="2"/>
      <c r="BS864" s="2"/>
      <c r="BT864" s="2"/>
      <c r="BU864" s="2"/>
    </row>
    <row r="865" spans="68:73" x14ac:dyDescent="0.25">
      <c r="BP865" s="2"/>
      <c r="BQ865" s="2"/>
      <c r="BR865" s="2"/>
      <c r="BS865" s="2"/>
      <c r="BT865" s="2"/>
      <c r="BU865" s="2"/>
    </row>
    <row r="866" spans="68:73" x14ac:dyDescent="0.25">
      <c r="BP866" s="2"/>
      <c r="BQ866" s="2"/>
      <c r="BR866" s="2"/>
      <c r="BS866" s="2"/>
      <c r="BT866" s="2"/>
      <c r="BU866" s="2"/>
    </row>
    <row r="867" spans="68:73" x14ac:dyDescent="0.25">
      <c r="BP867" s="2"/>
      <c r="BQ867" s="2"/>
      <c r="BR867" s="2"/>
      <c r="BS867" s="2"/>
      <c r="BT867" s="2"/>
      <c r="BU867" s="2"/>
    </row>
    <row r="868" spans="68:73" x14ac:dyDescent="0.25">
      <c r="BP868" s="2"/>
      <c r="BQ868" s="2"/>
      <c r="BR868" s="2"/>
      <c r="BS868" s="2"/>
      <c r="BT868" s="2"/>
      <c r="BU868" s="2"/>
    </row>
    <row r="869" spans="68:73" x14ac:dyDescent="0.25">
      <c r="BP869" s="2"/>
      <c r="BQ869" s="2"/>
      <c r="BR869" s="2"/>
      <c r="BS869" s="2"/>
      <c r="BT869" s="2"/>
      <c r="BU869" s="2"/>
    </row>
    <row r="870" spans="68:73" x14ac:dyDescent="0.25">
      <c r="BP870" s="2"/>
      <c r="BQ870" s="2"/>
      <c r="BR870" s="2"/>
      <c r="BS870" s="2"/>
      <c r="BT870" s="2"/>
      <c r="BU870" s="2"/>
    </row>
    <row r="871" spans="68:73" x14ac:dyDescent="0.25">
      <c r="BP871" s="2"/>
      <c r="BQ871" s="2"/>
      <c r="BR871" s="2"/>
      <c r="BS871" s="2"/>
      <c r="BT871" s="2"/>
      <c r="BU871" s="2"/>
    </row>
    <row r="872" spans="68:73" x14ac:dyDescent="0.25">
      <c r="BP872" s="2"/>
      <c r="BQ872" s="2"/>
      <c r="BR872" s="2"/>
      <c r="BS872" s="2"/>
      <c r="BT872" s="2"/>
      <c r="BU872" s="2"/>
    </row>
    <row r="873" spans="68:73" x14ac:dyDescent="0.25">
      <c r="BP873" s="2"/>
      <c r="BQ873" s="2"/>
      <c r="BR873" s="2"/>
      <c r="BS873" s="2"/>
      <c r="BT873" s="2"/>
      <c r="BU873" s="2"/>
    </row>
    <row r="874" spans="68:73" x14ac:dyDescent="0.25">
      <c r="BP874" s="2"/>
      <c r="BQ874" s="2"/>
      <c r="BR874" s="2"/>
      <c r="BS874" s="2"/>
      <c r="BT874" s="2"/>
      <c r="BU874" s="2"/>
    </row>
    <row r="875" spans="68:73" x14ac:dyDescent="0.25">
      <c r="BP875" s="2"/>
      <c r="BQ875" s="2"/>
      <c r="BR875" s="2"/>
      <c r="BS875" s="2"/>
      <c r="BT875" s="2"/>
      <c r="BU875" s="2"/>
    </row>
    <row r="876" spans="68:73" x14ac:dyDescent="0.25">
      <c r="BP876" s="2"/>
      <c r="BQ876" s="2"/>
      <c r="BR876" s="2"/>
      <c r="BS876" s="2"/>
      <c r="BT876" s="2"/>
      <c r="BU876" s="2"/>
    </row>
    <row r="877" spans="68:73" x14ac:dyDescent="0.25">
      <c r="BP877" s="2"/>
      <c r="BQ877" s="2"/>
      <c r="BR877" s="2"/>
      <c r="BS877" s="2"/>
      <c r="BT877" s="2"/>
      <c r="BU877" s="2"/>
    </row>
    <row r="878" spans="68:73" x14ac:dyDescent="0.25">
      <c r="BP878" s="2"/>
      <c r="BQ878" s="2"/>
      <c r="BR878" s="2"/>
      <c r="BS878" s="2"/>
      <c r="BT878" s="2"/>
      <c r="BU878" s="2"/>
    </row>
    <row r="879" spans="68:73" x14ac:dyDescent="0.25">
      <c r="BP879" s="2"/>
      <c r="BQ879" s="2"/>
      <c r="BR879" s="2"/>
      <c r="BS879" s="2"/>
      <c r="BT879" s="2"/>
      <c r="BU879" s="2"/>
    </row>
    <row r="880" spans="68:73" x14ac:dyDescent="0.25">
      <c r="BP880" s="2"/>
      <c r="BQ880" s="2"/>
      <c r="BR880" s="2"/>
      <c r="BS880" s="2"/>
      <c r="BT880" s="2"/>
      <c r="BU880" s="2"/>
    </row>
    <row r="881" spans="68:73" x14ac:dyDescent="0.25">
      <c r="BP881" s="2"/>
      <c r="BQ881" s="2"/>
      <c r="BR881" s="2"/>
      <c r="BS881" s="2"/>
      <c r="BT881" s="2"/>
      <c r="BU881" s="2"/>
    </row>
    <row r="882" spans="68:73" x14ac:dyDescent="0.25">
      <c r="BP882" s="2"/>
      <c r="BQ882" s="2"/>
      <c r="BR882" s="2"/>
      <c r="BS882" s="2"/>
      <c r="BT882" s="2"/>
      <c r="BU882" s="2"/>
    </row>
    <row r="883" spans="68:73" x14ac:dyDescent="0.25">
      <c r="BP883" s="2"/>
      <c r="BQ883" s="2"/>
      <c r="BR883" s="2"/>
      <c r="BS883" s="2"/>
      <c r="BT883" s="2"/>
      <c r="BU883" s="2"/>
    </row>
    <row r="884" spans="68:73" x14ac:dyDescent="0.25">
      <c r="BP884" s="2"/>
      <c r="BQ884" s="2"/>
      <c r="BR884" s="2"/>
      <c r="BS884" s="2"/>
      <c r="BT884" s="2"/>
      <c r="BU884" s="2"/>
    </row>
    <row r="885" spans="68:73" x14ac:dyDescent="0.25">
      <c r="BP885" s="2"/>
      <c r="BQ885" s="2"/>
      <c r="BR885" s="2"/>
      <c r="BS885" s="2"/>
      <c r="BT885" s="2"/>
      <c r="BU885" s="2"/>
    </row>
    <row r="886" spans="68:73" x14ac:dyDescent="0.25">
      <c r="BP886" s="2"/>
      <c r="BQ886" s="2"/>
      <c r="BR886" s="2"/>
      <c r="BS886" s="2"/>
      <c r="BT886" s="2"/>
      <c r="BU886" s="2"/>
    </row>
    <row r="887" spans="68:73" x14ac:dyDescent="0.25">
      <c r="BP887" s="2"/>
      <c r="BQ887" s="2"/>
      <c r="BR887" s="2"/>
      <c r="BS887" s="2"/>
      <c r="BT887" s="2"/>
      <c r="BU887" s="2"/>
    </row>
    <row r="888" spans="68:73" x14ac:dyDescent="0.25">
      <c r="BP888" s="2"/>
      <c r="BQ888" s="2"/>
      <c r="BR888" s="2"/>
      <c r="BS888" s="2"/>
      <c r="BT888" s="2"/>
      <c r="BU888" s="2"/>
    </row>
    <row r="889" spans="68:73" x14ac:dyDescent="0.25">
      <c r="BP889" s="2"/>
      <c r="BQ889" s="2"/>
      <c r="BR889" s="2"/>
      <c r="BS889" s="2"/>
      <c r="BT889" s="2"/>
      <c r="BU889" s="2"/>
    </row>
    <row r="890" spans="68:73" x14ac:dyDescent="0.25">
      <c r="BP890" s="2"/>
      <c r="BQ890" s="2"/>
      <c r="BR890" s="2"/>
      <c r="BS890" s="2"/>
      <c r="BT890" s="2"/>
      <c r="BU890" s="2"/>
    </row>
    <row r="891" spans="68:73" x14ac:dyDescent="0.25">
      <c r="BP891" s="2"/>
      <c r="BQ891" s="2"/>
      <c r="BR891" s="2"/>
      <c r="BS891" s="2"/>
      <c r="BT891" s="2"/>
      <c r="BU891" s="2"/>
    </row>
    <row r="892" spans="68:73" x14ac:dyDescent="0.25">
      <c r="BP892" s="2"/>
      <c r="BQ892" s="2"/>
      <c r="BR892" s="2"/>
      <c r="BS892" s="2"/>
      <c r="BT892" s="2"/>
      <c r="BU892" s="2"/>
    </row>
    <row r="893" spans="68:73" x14ac:dyDescent="0.25">
      <c r="BP893" s="2"/>
      <c r="BQ893" s="2"/>
      <c r="BR893" s="2"/>
      <c r="BS893" s="2"/>
      <c r="BT893" s="2"/>
      <c r="BU893" s="2"/>
    </row>
    <row r="894" spans="68:73" x14ac:dyDescent="0.25">
      <c r="BP894" s="2"/>
      <c r="BQ894" s="2"/>
      <c r="BR894" s="2"/>
      <c r="BS894" s="2"/>
      <c r="BT894" s="2"/>
      <c r="BU894" s="2"/>
    </row>
    <row r="895" spans="68:73" x14ac:dyDescent="0.25">
      <c r="BP895" s="2"/>
      <c r="BQ895" s="2"/>
      <c r="BR895" s="2"/>
      <c r="BS895" s="2"/>
      <c r="BT895" s="2"/>
      <c r="BU895" s="2"/>
    </row>
    <row r="896" spans="68:73" x14ac:dyDescent="0.25">
      <c r="BP896" s="2"/>
      <c r="BQ896" s="2"/>
      <c r="BR896" s="2"/>
      <c r="BS896" s="2"/>
      <c r="BT896" s="2"/>
      <c r="BU896" s="2"/>
    </row>
    <row r="897" spans="68:73" x14ac:dyDescent="0.25">
      <c r="BP897" s="2"/>
      <c r="BQ897" s="2"/>
      <c r="BR897" s="2"/>
      <c r="BS897" s="2"/>
      <c r="BT897" s="2"/>
      <c r="BU897" s="2"/>
    </row>
    <row r="898" spans="68:73" x14ac:dyDescent="0.25">
      <c r="BP898" s="2"/>
      <c r="BQ898" s="2"/>
      <c r="BR898" s="2"/>
      <c r="BS898" s="2"/>
      <c r="BT898" s="2"/>
      <c r="BU898" s="2"/>
    </row>
    <row r="899" spans="68:73" x14ac:dyDescent="0.25">
      <c r="BP899" s="2"/>
      <c r="BQ899" s="2"/>
      <c r="BR899" s="2"/>
      <c r="BS899" s="2"/>
      <c r="BT899" s="2"/>
      <c r="BU899" s="2"/>
    </row>
    <row r="900" spans="68:73" x14ac:dyDescent="0.25">
      <c r="BP900" s="2"/>
      <c r="BQ900" s="2"/>
      <c r="BR900" s="2"/>
      <c r="BS900" s="2"/>
      <c r="BT900" s="2"/>
      <c r="BU900" s="2"/>
    </row>
    <row r="901" spans="68:73" x14ac:dyDescent="0.25">
      <c r="BP901" s="2"/>
      <c r="BQ901" s="2"/>
      <c r="BR901" s="2"/>
      <c r="BS901" s="2"/>
      <c r="BT901" s="2"/>
      <c r="BU901" s="2"/>
    </row>
    <row r="902" spans="68:73" x14ac:dyDescent="0.25">
      <c r="BP902" s="2"/>
      <c r="BQ902" s="2"/>
      <c r="BR902" s="2"/>
      <c r="BS902" s="2"/>
      <c r="BT902" s="2"/>
      <c r="BU902" s="2"/>
    </row>
    <row r="903" spans="68:73" x14ac:dyDescent="0.25">
      <c r="BP903" s="2"/>
      <c r="BQ903" s="2"/>
      <c r="BR903" s="2"/>
      <c r="BS903" s="2"/>
      <c r="BT903" s="2"/>
      <c r="BU903" s="2"/>
    </row>
    <row r="904" spans="68:73" x14ac:dyDescent="0.25">
      <c r="BP904" s="2"/>
      <c r="BQ904" s="2"/>
      <c r="BR904" s="2"/>
      <c r="BS904" s="2"/>
      <c r="BT904" s="2"/>
      <c r="BU904" s="2"/>
    </row>
    <row r="905" spans="68:73" x14ac:dyDescent="0.25">
      <c r="BP905" s="2"/>
      <c r="BQ905" s="2"/>
      <c r="BR905" s="2"/>
      <c r="BS905" s="2"/>
      <c r="BT905" s="2"/>
      <c r="BU905" s="2"/>
    </row>
    <row r="906" spans="68:73" x14ac:dyDescent="0.25">
      <c r="BP906" s="2"/>
      <c r="BQ906" s="2"/>
      <c r="BR906" s="2"/>
      <c r="BS906" s="2"/>
      <c r="BT906" s="2"/>
      <c r="BU906" s="2"/>
    </row>
    <row r="907" spans="68:73" x14ac:dyDescent="0.25">
      <c r="BP907" s="2"/>
      <c r="BQ907" s="2"/>
      <c r="BR907" s="2"/>
      <c r="BS907" s="2"/>
      <c r="BT907" s="2"/>
      <c r="BU907" s="2"/>
    </row>
    <row r="908" spans="68:73" x14ac:dyDescent="0.25">
      <c r="BP908" s="2"/>
      <c r="BQ908" s="2"/>
      <c r="BR908" s="2"/>
      <c r="BS908" s="2"/>
      <c r="BT908" s="2"/>
      <c r="BU908" s="2"/>
    </row>
    <row r="909" spans="68:73" x14ac:dyDescent="0.25">
      <c r="BP909" s="2"/>
      <c r="BQ909" s="2"/>
      <c r="BR909" s="2"/>
      <c r="BS909" s="2"/>
      <c r="BT909" s="2"/>
      <c r="BU909" s="2"/>
    </row>
    <row r="910" spans="68:73" x14ac:dyDescent="0.25">
      <c r="BP910" s="2"/>
      <c r="BQ910" s="2"/>
      <c r="BR910" s="2"/>
      <c r="BS910" s="2"/>
      <c r="BT910" s="2"/>
      <c r="BU910" s="2"/>
    </row>
    <row r="911" spans="68:73" x14ac:dyDescent="0.25">
      <c r="BP911" s="2"/>
      <c r="BQ911" s="2"/>
      <c r="BR911" s="2"/>
      <c r="BS911" s="2"/>
      <c r="BT911" s="2"/>
      <c r="BU911" s="2"/>
    </row>
    <row r="912" spans="68:73" x14ac:dyDescent="0.25">
      <c r="BP912" s="2"/>
      <c r="BQ912" s="2"/>
      <c r="BR912" s="2"/>
      <c r="BS912" s="2"/>
      <c r="BT912" s="2"/>
      <c r="BU912" s="2"/>
    </row>
    <row r="913" spans="68:73" x14ac:dyDescent="0.25">
      <c r="BP913" s="2"/>
      <c r="BQ913" s="2"/>
      <c r="BR913" s="2"/>
      <c r="BS913" s="2"/>
      <c r="BT913" s="2"/>
      <c r="BU913" s="2"/>
    </row>
    <row r="914" spans="68:73" x14ac:dyDescent="0.25">
      <c r="BP914" s="2"/>
      <c r="BQ914" s="2"/>
      <c r="BR914" s="2"/>
      <c r="BS914" s="2"/>
      <c r="BT914" s="2"/>
      <c r="BU914" s="2"/>
    </row>
    <row r="915" spans="68:73" x14ac:dyDescent="0.25">
      <c r="BP915" s="2"/>
      <c r="BQ915" s="2"/>
      <c r="BR915" s="2"/>
      <c r="BS915" s="2"/>
      <c r="BT915" s="2"/>
      <c r="BU915" s="2"/>
    </row>
    <row r="916" spans="68:73" x14ac:dyDescent="0.25">
      <c r="BP916" s="2"/>
      <c r="BQ916" s="2"/>
      <c r="BR916" s="2"/>
      <c r="BS916" s="2"/>
      <c r="BT916" s="2"/>
      <c r="BU916" s="2"/>
    </row>
    <row r="917" spans="68:73" x14ac:dyDescent="0.25">
      <c r="BP917" s="2"/>
      <c r="BQ917" s="2"/>
      <c r="BR917" s="2"/>
      <c r="BS917" s="2"/>
      <c r="BT917" s="2"/>
      <c r="BU917" s="2"/>
    </row>
    <row r="918" spans="68:73" x14ac:dyDescent="0.25">
      <c r="BP918" s="2"/>
      <c r="BQ918" s="2"/>
      <c r="BR918" s="2"/>
      <c r="BS918" s="2"/>
      <c r="BT918" s="2"/>
      <c r="BU918" s="2"/>
    </row>
    <row r="919" spans="68:73" x14ac:dyDescent="0.25">
      <c r="BP919" s="2"/>
      <c r="BQ919" s="2"/>
      <c r="BR919" s="2"/>
      <c r="BS919" s="2"/>
      <c r="BT919" s="2"/>
      <c r="BU919" s="2"/>
    </row>
    <row r="920" spans="68:73" x14ac:dyDescent="0.25">
      <c r="BP920" s="2"/>
      <c r="BQ920" s="2"/>
      <c r="BR920" s="2"/>
      <c r="BS920" s="2"/>
      <c r="BT920" s="2"/>
      <c r="BU920" s="2"/>
    </row>
    <row r="921" spans="68:73" x14ac:dyDescent="0.25">
      <c r="BP921" s="2"/>
      <c r="BQ921" s="2"/>
      <c r="BR921" s="2"/>
      <c r="BS921" s="2"/>
      <c r="BT921" s="2"/>
      <c r="BU921" s="2"/>
    </row>
    <row r="922" spans="68:73" x14ac:dyDescent="0.25">
      <c r="BP922" s="2"/>
      <c r="BQ922" s="2"/>
      <c r="BR922" s="2"/>
      <c r="BS922" s="2"/>
      <c r="BT922" s="2"/>
      <c r="BU922" s="2"/>
    </row>
    <row r="923" spans="68:73" x14ac:dyDescent="0.25">
      <c r="BP923" s="2"/>
      <c r="BQ923" s="2"/>
      <c r="BR923" s="2"/>
      <c r="BS923" s="2"/>
      <c r="BT923" s="2"/>
      <c r="BU923" s="2"/>
    </row>
    <row r="924" spans="68:73" x14ac:dyDescent="0.25">
      <c r="BP924" s="2"/>
      <c r="BQ924" s="2"/>
      <c r="BR924" s="2"/>
      <c r="BS924" s="2"/>
      <c r="BT924" s="2"/>
      <c r="BU924" s="2"/>
    </row>
    <row r="925" spans="68:73" x14ac:dyDescent="0.25">
      <c r="BP925" s="2"/>
      <c r="BQ925" s="2"/>
      <c r="BR925" s="2"/>
      <c r="BS925" s="2"/>
      <c r="BT925" s="2"/>
      <c r="BU925" s="2"/>
    </row>
    <row r="926" spans="68:73" x14ac:dyDescent="0.25">
      <c r="BP926" s="2"/>
      <c r="BQ926" s="2"/>
      <c r="BR926" s="2"/>
      <c r="BS926" s="2"/>
      <c r="BT926" s="2"/>
      <c r="BU926" s="2"/>
    </row>
    <row r="927" spans="68:73" x14ac:dyDescent="0.25">
      <c r="BP927" s="2"/>
      <c r="BQ927" s="2"/>
      <c r="BR927" s="2"/>
      <c r="BS927" s="2"/>
      <c r="BT927" s="2"/>
      <c r="BU927" s="2"/>
    </row>
    <row r="928" spans="68:73" x14ac:dyDescent="0.25">
      <c r="BP928" s="2"/>
      <c r="BQ928" s="2"/>
      <c r="BR928" s="2"/>
      <c r="BS928" s="2"/>
      <c r="BT928" s="2"/>
      <c r="BU928" s="2"/>
    </row>
    <row r="929" spans="68:73" x14ac:dyDescent="0.25">
      <c r="BP929" s="2"/>
      <c r="BQ929" s="2"/>
      <c r="BR929" s="2"/>
      <c r="BS929" s="2"/>
      <c r="BT929" s="2"/>
      <c r="BU929" s="2"/>
    </row>
    <row r="930" spans="68:73" x14ac:dyDescent="0.25">
      <c r="BP930" s="2"/>
      <c r="BQ930" s="2"/>
      <c r="BR930" s="2"/>
      <c r="BS930" s="2"/>
      <c r="BT930" s="2"/>
      <c r="BU930" s="2"/>
    </row>
    <row r="931" spans="68:73" x14ac:dyDescent="0.25">
      <c r="BP931" s="2"/>
      <c r="BQ931" s="2"/>
      <c r="BR931" s="2"/>
      <c r="BS931" s="2"/>
      <c r="BT931" s="2"/>
      <c r="BU931" s="2"/>
    </row>
    <row r="932" spans="68:73" x14ac:dyDescent="0.25">
      <c r="BP932" s="2"/>
      <c r="BQ932" s="2"/>
      <c r="BR932" s="2"/>
      <c r="BS932" s="2"/>
      <c r="BT932" s="2"/>
      <c r="BU932" s="2"/>
    </row>
    <row r="933" spans="68:73" x14ac:dyDescent="0.25">
      <c r="BP933" s="2"/>
      <c r="BQ933" s="2"/>
      <c r="BR933" s="2"/>
      <c r="BS933" s="2"/>
      <c r="BT933" s="2"/>
      <c r="BU933" s="2"/>
    </row>
    <row r="934" spans="68:73" x14ac:dyDescent="0.25">
      <c r="BP934" s="2"/>
      <c r="BQ934" s="2"/>
      <c r="BR934" s="2"/>
      <c r="BS934" s="2"/>
      <c r="BT934" s="2"/>
      <c r="BU934" s="2"/>
    </row>
    <row r="935" spans="68:73" x14ac:dyDescent="0.25">
      <c r="BP935" s="2"/>
      <c r="BQ935" s="2"/>
      <c r="BR935" s="2"/>
      <c r="BS935" s="2"/>
      <c r="BT935" s="2"/>
      <c r="BU935" s="2"/>
    </row>
    <row r="936" spans="68:73" x14ac:dyDescent="0.25">
      <c r="BP936" s="2"/>
      <c r="BQ936" s="2"/>
      <c r="BR936" s="2"/>
      <c r="BS936" s="2"/>
      <c r="BT936" s="2"/>
      <c r="BU936" s="2"/>
    </row>
    <row r="937" spans="68:73" x14ac:dyDescent="0.25">
      <c r="BP937" s="2"/>
      <c r="BQ937" s="2"/>
      <c r="BR937" s="2"/>
      <c r="BS937" s="2"/>
      <c r="BT937" s="2"/>
      <c r="BU937" s="2"/>
    </row>
    <row r="938" spans="68:73" x14ac:dyDescent="0.25">
      <c r="BP938" s="2"/>
      <c r="BQ938" s="2"/>
      <c r="BR938" s="2"/>
      <c r="BS938" s="2"/>
      <c r="BT938" s="2"/>
      <c r="BU938" s="2"/>
    </row>
    <row r="939" spans="68:73" x14ac:dyDescent="0.25">
      <c r="BP939" s="2"/>
      <c r="BQ939" s="2"/>
      <c r="BR939" s="2"/>
      <c r="BS939" s="2"/>
      <c r="BT939" s="2"/>
      <c r="BU939" s="2"/>
    </row>
    <row r="940" spans="68:73" x14ac:dyDescent="0.25">
      <c r="BP940" s="2"/>
      <c r="BQ940" s="2"/>
      <c r="BR940" s="2"/>
      <c r="BS940" s="2"/>
      <c r="BT940" s="2"/>
      <c r="BU940" s="2"/>
    </row>
    <row r="941" spans="68:73" x14ac:dyDescent="0.25">
      <c r="BP941" s="2"/>
      <c r="BQ941" s="2"/>
      <c r="BR941" s="2"/>
      <c r="BS941" s="2"/>
      <c r="BT941" s="2"/>
      <c r="BU941" s="2"/>
    </row>
    <row r="942" spans="68:73" x14ac:dyDescent="0.25">
      <c r="BP942" s="2"/>
      <c r="BQ942" s="2"/>
      <c r="BR942" s="2"/>
      <c r="BS942" s="2"/>
      <c r="BT942" s="2"/>
      <c r="BU942" s="2"/>
    </row>
    <row r="943" spans="68:73" x14ac:dyDescent="0.25">
      <c r="BP943" s="2"/>
      <c r="BQ943" s="2"/>
      <c r="BR943" s="2"/>
      <c r="BS943" s="2"/>
      <c r="BT943" s="2"/>
      <c r="BU943" s="2"/>
    </row>
    <row r="944" spans="68:73" x14ac:dyDescent="0.25">
      <c r="BP944" s="2"/>
      <c r="BQ944" s="2"/>
      <c r="BR944" s="2"/>
      <c r="BS944" s="2"/>
      <c r="BT944" s="2"/>
      <c r="BU944" s="2"/>
    </row>
    <row r="945" spans="68:73" x14ac:dyDescent="0.25">
      <c r="BP945" s="2"/>
      <c r="BQ945" s="2"/>
      <c r="BR945" s="2"/>
      <c r="BS945" s="2"/>
      <c r="BT945" s="2"/>
      <c r="BU945" s="2"/>
    </row>
    <row r="946" spans="68:73" x14ac:dyDescent="0.25">
      <c r="BP946" s="2"/>
      <c r="BQ946" s="2"/>
      <c r="BR946" s="2"/>
      <c r="BS946" s="2"/>
      <c r="BT946" s="2"/>
      <c r="BU946" s="2"/>
    </row>
    <row r="947" spans="68:73" x14ac:dyDescent="0.25">
      <c r="BP947" s="2"/>
      <c r="BQ947" s="2"/>
      <c r="BR947" s="2"/>
      <c r="BS947" s="2"/>
      <c r="BT947" s="2"/>
      <c r="BU947" s="2"/>
    </row>
    <row r="948" spans="68:73" x14ac:dyDescent="0.25">
      <c r="BP948" s="2"/>
      <c r="BQ948" s="2"/>
      <c r="BR948" s="2"/>
      <c r="BS948" s="2"/>
      <c r="BT948" s="2"/>
      <c r="BU948" s="2"/>
    </row>
    <row r="949" spans="68:73" x14ac:dyDescent="0.25">
      <c r="BP949" s="2"/>
      <c r="BQ949" s="2"/>
      <c r="BR949" s="2"/>
      <c r="BS949" s="2"/>
      <c r="BT949" s="2"/>
      <c r="BU949" s="2"/>
    </row>
    <row r="950" spans="68:73" x14ac:dyDescent="0.25">
      <c r="BP950" s="2"/>
      <c r="BQ950" s="2"/>
      <c r="BR950" s="2"/>
      <c r="BS950" s="2"/>
      <c r="BT950" s="2"/>
      <c r="BU950" s="2"/>
    </row>
    <row r="951" spans="68:73" x14ac:dyDescent="0.25">
      <c r="BP951" s="2"/>
      <c r="BQ951" s="2"/>
      <c r="BR951" s="2"/>
      <c r="BS951" s="2"/>
      <c r="BT951" s="2"/>
      <c r="BU951" s="2"/>
    </row>
    <row r="952" spans="68:73" x14ac:dyDescent="0.25">
      <c r="BP952" s="2"/>
      <c r="BQ952" s="2"/>
      <c r="BR952" s="2"/>
      <c r="BS952" s="2"/>
      <c r="BT952" s="2"/>
      <c r="BU952" s="2"/>
    </row>
    <row r="953" spans="68:73" x14ac:dyDescent="0.25">
      <c r="BP953" s="2"/>
      <c r="BQ953" s="2"/>
      <c r="BR953" s="2"/>
      <c r="BS953" s="2"/>
      <c r="BT953" s="2"/>
      <c r="BU953" s="2"/>
    </row>
    <row r="954" spans="68:73" x14ac:dyDescent="0.25">
      <c r="BP954" s="2"/>
      <c r="BQ954" s="2"/>
      <c r="BR954" s="2"/>
      <c r="BS954" s="2"/>
      <c r="BT954" s="2"/>
      <c r="BU954" s="2"/>
    </row>
    <row r="955" spans="68:73" x14ac:dyDescent="0.25">
      <c r="BP955" s="2"/>
      <c r="BQ955" s="2"/>
      <c r="BR955" s="2"/>
      <c r="BS955" s="2"/>
      <c r="BT955" s="2"/>
      <c r="BU955" s="2"/>
    </row>
    <row r="956" spans="68:73" x14ac:dyDescent="0.25">
      <c r="BP956" s="2"/>
      <c r="BQ956" s="2"/>
      <c r="BR956" s="2"/>
      <c r="BS956" s="2"/>
      <c r="BT956" s="2"/>
      <c r="BU956" s="2"/>
    </row>
    <row r="957" spans="68:73" x14ac:dyDescent="0.25">
      <c r="BP957" s="2"/>
      <c r="BQ957" s="2"/>
      <c r="BR957" s="2"/>
      <c r="BS957" s="2"/>
      <c r="BT957" s="2"/>
      <c r="BU957" s="2"/>
    </row>
    <row r="958" spans="68:73" x14ac:dyDescent="0.25">
      <c r="BP958" s="2"/>
      <c r="BQ958" s="2"/>
      <c r="BR958" s="2"/>
      <c r="BS958" s="2"/>
      <c r="BT958" s="2"/>
      <c r="BU958" s="2"/>
    </row>
    <row r="959" spans="68:73" x14ac:dyDescent="0.25">
      <c r="BP959" s="2"/>
      <c r="BQ959" s="2"/>
      <c r="BR959" s="2"/>
      <c r="BS959" s="2"/>
      <c r="BT959" s="2"/>
      <c r="BU959" s="2"/>
    </row>
    <row r="960" spans="68:73" x14ac:dyDescent="0.25">
      <c r="BP960" s="2"/>
      <c r="BQ960" s="2"/>
      <c r="BR960" s="2"/>
      <c r="BS960" s="2"/>
      <c r="BT960" s="2"/>
      <c r="BU960" s="2"/>
    </row>
    <row r="961" spans="68:73" x14ac:dyDescent="0.25">
      <c r="BP961" s="2"/>
      <c r="BQ961" s="2"/>
      <c r="BR961" s="2"/>
      <c r="BS961" s="2"/>
      <c r="BT961" s="2"/>
      <c r="BU961" s="2"/>
    </row>
    <row r="962" spans="68:73" x14ac:dyDescent="0.25">
      <c r="BP962" s="2"/>
      <c r="BQ962" s="2"/>
      <c r="BR962" s="2"/>
      <c r="BS962" s="2"/>
      <c r="BT962" s="2"/>
      <c r="BU962" s="2"/>
    </row>
    <row r="963" spans="68:73" x14ac:dyDescent="0.25">
      <c r="BP963" s="2"/>
      <c r="BQ963" s="2"/>
      <c r="BR963" s="2"/>
      <c r="BS963" s="2"/>
      <c r="BT963" s="2"/>
      <c r="BU963" s="2"/>
    </row>
    <row r="964" spans="68:73" x14ac:dyDescent="0.25">
      <c r="BP964" s="2"/>
      <c r="BQ964" s="2"/>
      <c r="BR964" s="2"/>
      <c r="BS964" s="2"/>
      <c r="BT964" s="2"/>
      <c r="BU964" s="2"/>
    </row>
    <row r="965" spans="68:73" x14ac:dyDescent="0.25">
      <c r="BP965" s="2"/>
      <c r="BQ965" s="2"/>
      <c r="BR965" s="2"/>
      <c r="BS965" s="2"/>
      <c r="BT965" s="2"/>
      <c r="BU965" s="2"/>
    </row>
    <row r="966" spans="68:73" x14ac:dyDescent="0.25">
      <c r="BP966" s="2"/>
      <c r="BQ966" s="2"/>
      <c r="BR966" s="2"/>
      <c r="BS966" s="2"/>
      <c r="BT966" s="2"/>
      <c r="BU966" s="2"/>
    </row>
    <row r="967" spans="68:73" x14ac:dyDescent="0.25">
      <c r="BP967" s="2"/>
      <c r="BQ967" s="2"/>
      <c r="BR967" s="2"/>
      <c r="BS967" s="2"/>
      <c r="BT967" s="2"/>
      <c r="BU967" s="2"/>
    </row>
    <row r="968" spans="68:73" x14ac:dyDescent="0.25">
      <c r="BP968" s="2"/>
      <c r="BQ968" s="2"/>
      <c r="BR968" s="2"/>
      <c r="BS968" s="2"/>
      <c r="BT968" s="2"/>
      <c r="BU968" s="2"/>
    </row>
    <row r="969" spans="68:73" x14ac:dyDescent="0.25">
      <c r="BP969" s="2"/>
      <c r="BQ969" s="2"/>
      <c r="BR969" s="2"/>
      <c r="BS969" s="2"/>
      <c r="BT969" s="2"/>
      <c r="BU969" s="2"/>
    </row>
    <row r="970" spans="68:73" x14ac:dyDescent="0.25">
      <c r="BP970" s="2"/>
      <c r="BQ970" s="2"/>
      <c r="BR970" s="2"/>
      <c r="BS970" s="2"/>
      <c r="BT970" s="2"/>
      <c r="BU970" s="2"/>
    </row>
    <row r="971" spans="68:73" x14ac:dyDescent="0.25">
      <c r="BP971" s="2"/>
      <c r="BQ971" s="2"/>
      <c r="BR971" s="2"/>
      <c r="BS971" s="2"/>
      <c r="BT971" s="2"/>
      <c r="BU971" s="2"/>
    </row>
    <row r="972" spans="68:73" x14ac:dyDescent="0.25">
      <c r="BP972" s="2"/>
      <c r="BQ972" s="2"/>
      <c r="BR972" s="2"/>
      <c r="BS972" s="2"/>
      <c r="BT972" s="2"/>
      <c r="BU972" s="2"/>
    </row>
    <row r="973" spans="68:73" x14ac:dyDescent="0.25">
      <c r="BP973" s="2"/>
      <c r="BQ973" s="2"/>
      <c r="BR973" s="2"/>
      <c r="BS973" s="2"/>
      <c r="BT973" s="2"/>
      <c r="BU973" s="2"/>
    </row>
    <row r="974" spans="68:73" x14ac:dyDescent="0.25">
      <c r="BP974" s="2"/>
      <c r="BQ974" s="2"/>
      <c r="BR974" s="2"/>
      <c r="BS974" s="2"/>
      <c r="BT974" s="2"/>
      <c r="BU974" s="2"/>
    </row>
    <row r="975" spans="68:73" x14ac:dyDescent="0.25">
      <c r="BP975" s="2"/>
      <c r="BQ975" s="2"/>
      <c r="BR975" s="2"/>
      <c r="BS975" s="2"/>
      <c r="BT975" s="2"/>
      <c r="BU975" s="2"/>
    </row>
    <row r="976" spans="68:73" x14ac:dyDescent="0.25">
      <c r="BP976" s="2"/>
      <c r="BQ976" s="2"/>
      <c r="BR976" s="2"/>
      <c r="BS976" s="2"/>
      <c r="BT976" s="2"/>
      <c r="BU976" s="2"/>
    </row>
    <row r="977" spans="68:73" x14ac:dyDescent="0.25">
      <c r="BP977" s="2"/>
      <c r="BQ977" s="2"/>
      <c r="BR977" s="2"/>
      <c r="BS977" s="2"/>
      <c r="BT977" s="2"/>
      <c r="BU977" s="2"/>
    </row>
    <row r="978" spans="68:73" x14ac:dyDescent="0.25">
      <c r="BP978" s="2"/>
      <c r="BQ978" s="2"/>
      <c r="BR978" s="2"/>
      <c r="BS978" s="2"/>
      <c r="BT978" s="2"/>
      <c r="BU978" s="2"/>
    </row>
    <row r="979" spans="68:73" x14ac:dyDescent="0.25">
      <c r="BP979" s="2"/>
      <c r="BQ979" s="2"/>
      <c r="BR979" s="2"/>
      <c r="BS979" s="2"/>
      <c r="BT979" s="2"/>
      <c r="BU979" s="2"/>
    </row>
    <row r="980" spans="68:73" x14ac:dyDescent="0.25">
      <c r="BP980" s="2"/>
      <c r="BQ980" s="2"/>
      <c r="BR980" s="2"/>
      <c r="BS980" s="2"/>
      <c r="BT980" s="2"/>
      <c r="BU980" s="2"/>
    </row>
    <row r="981" spans="68:73" x14ac:dyDescent="0.25">
      <c r="BP981" s="2"/>
      <c r="BQ981" s="2"/>
      <c r="BR981" s="2"/>
      <c r="BS981" s="2"/>
      <c r="BT981" s="2"/>
      <c r="BU981" s="2"/>
    </row>
    <row r="982" spans="68:73" x14ac:dyDescent="0.25">
      <c r="BP982" s="2"/>
      <c r="BQ982" s="2"/>
      <c r="BR982" s="2"/>
      <c r="BS982" s="2"/>
      <c r="BT982" s="2"/>
      <c r="BU982" s="2"/>
    </row>
    <row r="983" spans="68:73" x14ac:dyDescent="0.25">
      <c r="BP983" s="2"/>
      <c r="BQ983" s="2"/>
      <c r="BR983" s="2"/>
      <c r="BS983" s="2"/>
      <c r="BT983" s="2"/>
      <c r="BU983" s="2"/>
    </row>
    <row r="984" spans="68:73" x14ac:dyDescent="0.25">
      <c r="BP984" s="2"/>
      <c r="BQ984" s="2"/>
      <c r="BR984" s="2"/>
      <c r="BS984" s="2"/>
      <c r="BT984" s="2"/>
      <c r="BU984" s="2"/>
    </row>
    <row r="985" spans="68:73" x14ac:dyDescent="0.25">
      <c r="BP985" s="2"/>
      <c r="BQ985" s="2"/>
      <c r="BR985" s="2"/>
      <c r="BS985" s="2"/>
      <c r="BT985" s="2"/>
      <c r="BU985" s="2"/>
    </row>
    <row r="986" spans="68:73" x14ac:dyDescent="0.25">
      <c r="BP986" s="2"/>
      <c r="BQ986" s="2"/>
      <c r="BR986" s="2"/>
      <c r="BS986" s="2"/>
      <c r="BT986" s="2"/>
      <c r="BU986" s="2"/>
    </row>
    <row r="987" spans="68:73" x14ac:dyDescent="0.25">
      <c r="BP987" s="2"/>
      <c r="BQ987" s="2"/>
      <c r="BR987" s="2"/>
      <c r="BS987" s="2"/>
      <c r="BT987" s="2"/>
      <c r="BU987" s="2"/>
    </row>
    <row r="988" spans="68:73" x14ac:dyDescent="0.25">
      <c r="BP988" s="2"/>
      <c r="BQ988" s="2"/>
      <c r="BR988" s="2"/>
      <c r="BS988" s="2"/>
      <c r="BT988" s="2"/>
      <c r="BU988" s="2"/>
    </row>
    <row r="989" spans="68:73" x14ac:dyDescent="0.25">
      <c r="BP989" s="2"/>
      <c r="BQ989" s="2"/>
      <c r="BR989" s="2"/>
      <c r="BS989" s="2"/>
      <c r="BT989" s="2"/>
      <c r="BU989" s="2"/>
    </row>
    <row r="990" spans="68:73" x14ac:dyDescent="0.25">
      <c r="BP990" s="2"/>
      <c r="BQ990" s="2"/>
      <c r="BR990" s="2"/>
      <c r="BS990" s="2"/>
      <c r="BT990" s="2"/>
      <c r="BU990" s="2"/>
    </row>
    <row r="991" spans="68:73" x14ac:dyDescent="0.25">
      <c r="BP991" s="2"/>
      <c r="BQ991" s="2"/>
      <c r="BR991" s="2"/>
      <c r="BS991" s="2"/>
      <c r="BT991" s="2"/>
      <c r="BU991" s="2"/>
    </row>
    <row r="992" spans="68:73" x14ac:dyDescent="0.25">
      <c r="BP992" s="2"/>
      <c r="BQ992" s="2"/>
      <c r="BR992" s="2"/>
      <c r="BS992" s="2"/>
      <c r="BT992" s="2"/>
      <c r="BU992" s="2"/>
    </row>
    <row r="993" spans="68:73" x14ac:dyDescent="0.25">
      <c r="BP993" s="2"/>
      <c r="BQ993" s="2"/>
      <c r="BR993" s="2"/>
      <c r="BS993" s="2"/>
      <c r="BT993" s="2"/>
      <c r="BU993" s="2"/>
    </row>
    <row r="994" spans="68:73" x14ac:dyDescent="0.25">
      <c r="BP994" s="2"/>
      <c r="BQ994" s="2"/>
      <c r="BR994" s="2"/>
      <c r="BS994" s="2"/>
      <c r="BT994" s="2"/>
      <c r="BU994" s="2"/>
    </row>
    <row r="995" spans="68:73" x14ac:dyDescent="0.25">
      <c r="BP995" s="2"/>
      <c r="BQ995" s="2"/>
      <c r="BR995" s="2"/>
      <c r="BS995" s="2"/>
      <c r="BT995" s="2"/>
      <c r="BU995" s="2"/>
    </row>
    <row r="996" spans="68:73" x14ac:dyDescent="0.25">
      <c r="BP996" s="2"/>
      <c r="BQ996" s="2"/>
      <c r="BR996" s="2"/>
      <c r="BS996" s="2"/>
      <c r="BT996" s="2"/>
      <c r="BU996" s="2"/>
    </row>
    <row r="997" spans="68:73" x14ac:dyDescent="0.25">
      <c r="BP997" s="2"/>
      <c r="BQ997" s="2"/>
      <c r="BR997" s="2"/>
      <c r="BS997" s="2"/>
      <c r="BT997" s="2"/>
      <c r="BU997" s="2"/>
    </row>
    <row r="998" spans="68:73" x14ac:dyDescent="0.25">
      <c r="BP998" s="2"/>
      <c r="BQ998" s="2"/>
      <c r="BR998" s="2"/>
      <c r="BS998" s="2"/>
      <c r="BT998" s="2"/>
      <c r="BU998" s="2"/>
    </row>
    <row r="999" spans="68:73" x14ac:dyDescent="0.25">
      <c r="BP999" s="2"/>
      <c r="BQ999" s="2"/>
      <c r="BR999" s="2"/>
      <c r="BS999" s="2"/>
      <c r="BT999" s="2"/>
      <c r="BU999" s="2"/>
    </row>
    <row r="1000" spans="68:73" x14ac:dyDescent="0.25">
      <c r="BP1000" s="2"/>
      <c r="BQ1000" s="2"/>
      <c r="BR1000" s="2"/>
      <c r="BS1000" s="2"/>
      <c r="BT1000" s="2"/>
      <c r="BU1000" s="2"/>
    </row>
    <row r="1001" spans="68:73" x14ac:dyDescent="0.25">
      <c r="BP1001" s="2"/>
      <c r="BQ1001" s="2"/>
      <c r="BR1001" s="2"/>
      <c r="BS1001" s="2"/>
      <c r="BT1001" s="2"/>
      <c r="BU1001" s="2"/>
    </row>
    <row r="1002" spans="68:73" x14ac:dyDescent="0.25">
      <c r="BP1002" s="2"/>
      <c r="BQ1002" s="2"/>
      <c r="BR1002" s="2"/>
      <c r="BS1002" s="2"/>
      <c r="BT1002" s="2"/>
      <c r="BU1002" s="2"/>
    </row>
    <row r="1003" spans="68:73" x14ac:dyDescent="0.25">
      <c r="BP1003" s="2"/>
      <c r="BQ1003" s="2"/>
      <c r="BR1003" s="2"/>
      <c r="BS1003" s="2"/>
      <c r="BT1003" s="2"/>
      <c r="BU1003" s="2"/>
    </row>
    <row r="1004" spans="68:73" x14ac:dyDescent="0.25">
      <c r="BP1004" s="2"/>
      <c r="BQ1004" s="2"/>
      <c r="BR1004" s="2"/>
      <c r="BS1004" s="2"/>
      <c r="BT1004" s="2"/>
      <c r="BU1004" s="2"/>
    </row>
    <row r="1005" spans="68:73" x14ac:dyDescent="0.25">
      <c r="BP1005" s="2"/>
      <c r="BQ1005" s="2"/>
      <c r="BR1005" s="2"/>
      <c r="BS1005" s="2"/>
      <c r="BT1005" s="2"/>
      <c r="BU1005" s="2"/>
    </row>
    <row r="1006" spans="68:73" x14ac:dyDescent="0.25">
      <c r="BP1006" s="2"/>
      <c r="BQ1006" s="2"/>
      <c r="BR1006" s="2"/>
      <c r="BS1006" s="2"/>
      <c r="BT1006" s="2"/>
      <c r="BU1006" s="2"/>
    </row>
    <row r="1007" spans="68:73" x14ac:dyDescent="0.25">
      <c r="BP1007" s="2"/>
      <c r="BQ1007" s="2"/>
      <c r="BR1007" s="2"/>
      <c r="BS1007" s="2"/>
      <c r="BT1007" s="2"/>
      <c r="BU1007" s="2"/>
    </row>
    <row r="1008" spans="68:73" x14ac:dyDescent="0.25">
      <c r="BP1008" s="2"/>
      <c r="BQ1008" s="2"/>
      <c r="BR1008" s="2"/>
      <c r="BS1008" s="2"/>
      <c r="BT1008" s="2"/>
      <c r="BU1008" s="2"/>
    </row>
    <row r="1009" spans="68:73" x14ac:dyDescent="0.25">
      <c r="BP1009" s="2"/>
      <c r="BQ1009" s="2"/>
      <c r="BR1009" s="2"/>
      <c r="BS1009" s="2"/>
      <c r="BT1009" s="2"/>
      <c r="BU1009" s="2"/>
    </row>
    <row r="1010" spans="68:73" x14ac:dyDescent="0.25">
      <c r="BP1010" s="2"/>
      <c r="BQ1010" s="2"/>
      <c r="BR1010" s="2"/>
      <c r="BS1010" s="2"/>
      <c r="BT1010" s="2"/>
      <c r="BU1010" s="2"/>
    </row>
    <row r="1011" spans="68:73" x14ac:dyDescent="0.25">
      <c r="BP1011" s="2"/>
      <c r="BQ1011" s="2"/>
      <c r="BR1011" s="2"/>
      <c r="BS1011" s="2"/>
      <c r="BT1011" s="2"/>
      <c r="BU1011" s="2"/>
    </row>
    <row r="1012" spans="68:73" x14ac:dyDescent="0.25">
      <c r="BP1012" s="2"/>
      <c r="BQ1012" s="2"/>
      <c r="BR1012" s="2"/>
      <c r="BS1012" s="2"/>
      <c r="BT1012" s="2"/>
      <c r="BU1012" s="2"/>
    </row>
    <row r="1013" spans="68:73" x14ac:dyDescent="0.25">
      <c r="BP1013" s="2"/>
      <c r="BQ1013" s="2"/>
      <c r="BR1013" s="2"/>
      <c r="BS1013" s="2"/>
      <c r="BT1013" s="2"/>
      <c r="BU1013" s="2"/>
    </row>
    <row r="1014" spans="68:73" x14ac:dyDescent="0.25">
      <c r="BP1014" s="2"/>
      <c r="BQ1014" s="2"/>
      <c r="BR1014" s="2"/>
      <c r="BS1014" s="2"/>
      <c r="BT1014" s="2"/>
      <c r="BU1014" s="2"/>
    </row>
    <row r="1015" spans="68:73" x14ac:dyDescent="0.25">
      <c r="BP1015" s="2"/>
      <c r="BQ1015" s="2"/>
      <c r="BR1015" s="2"/>
      <c r="BS1015" s="2"/>
      <c r="BT1015" s="2"/>
      <c r="BU1015" s="2"/>
    </row>
    <row r="1016" spans="68:73" x14ac:dyDescent="0.25">
      <c r="BP1016" s="2"/>
      <c r="BQ1016" s="2"/>
      <c r="BR1016" s="2"/>
      <c r="BS1016" s="2"/>
      <c r="BT1016" s="2"/>
      <c r="BU1016" s="2"/>
    </row>
    <row r="1017" spans="68:73" x14ac:dyDescent="0.25">
      <c r="BP1017" s="2"/>
      <c r="BQ1017" s="2"/>
      <c r="BR1017" s="2"/>
      <c r="BS1017" s="2"/>
      <c r="BT1017" s="2"/>
      <c r="BU1017" s="2"/>
    </row>
    <row r="1018" spans="68:73" x14ac:dyDescent="0.25">
      <c r="BP1018" s="2"/>
      <c r="BQ1018" s="2"/>
      <c r="BR1018" s="2"/>
      <c r="BS1018" s="2"/>
      <c r="BT1018" s="2"/>
      <c r="BU1018" s="2"/>
    </row>
    <row r="1019" spans="68:73" x14ac:dyDescent="0.25">
      <c r="BP1019" s="2"/>
      <c r="BQ1019" s="2"/>
      <c r="BR1019" s="2"/>
      <c r="BS1019" s="2"/>
      <c r="BT1019" s="2"/>
      <c r="BU1019" s="2"/>
    </row>
    <row r="1020" spans="68:73" x14ac:dyDescent="0.25">
      <c r="BP1020" s="2"/>
      <c r="BQ1020" s="2"/>
      <c r="BR1020" s="2"/>
      <c r="BS1020" s="2"/>
      <c r="BT1020" s="2"/>
      <c r="BU1020" s="2"/>
    </row>
    <row r="1021" spans="68:73" x14ac:dyDescent="0.25">
      <c r="BP1021" s="2"/>
      <c r="BQ1021" s="2"/>
      <c r="BR1021" s="2"/>
      <c r="BS1021" s="2"/>
      <c r="BT1021" s="2"/>
      <c r="BU1021" s="2"/>
    </row>
    <row r="1022" spans="68:73" x14ac:dyDescent="0.25">
      <c r="BP1022" s="2"/>
      <c r="BQ1022" s="2"/>
      <c r="BR1022" s="2"/>
      <c r="BS1022" s="2"/>
      <c r="BT1022" s="2"/>
      <c r="BU1022" s="2"/>
    </row>
    <row r="1023" spans="68:73" x14ac:dyDescent="0.25">
      <c r="BP1023" s="2"/>
      <c r="BQ1023" s="2"/>
      <c r="BR1023" s="2"/>
      <c r="BS1023" s="2"/>
      <c r="BT1023" s="2"/>
      <c r="BU1023" s="2"/>
    </row>
    <row r="1024" spans="68:73" x14ac:dyDescent="0.25">
      <c r="BP1024" s="2"/>
      <c r="BQ1024" s="2"/>
      <c r="BR1024" s="2"/>
      <c r="BS1024" s="2"/>
      <c r="BT1024" s="2"/>
      <c r="BU1024" s="2"/>
    </row>
    <row r="1025" spans="68:73" x14ac:dyDescent="0.25">
      <c r="BP1025" s="2"/>
      <c r="BQ1025" s="2"/>
      <c r="BR1025" s="2"/>
      <c r="BS1025" s="2"/>
      <c r="BT1025" s="2"/>
      <c r="BU1025" s="2"/>
    </row>
    <row r="1026" spans="68:73" x14ac:dyDescent="0.25">
      <c r="BP1026" s="2"/>
      <c r="BQ1026" s="2"/>
      <c r="BR1026" s="2"/>
      <c r="BS1026" s="2"/>
      <c r="BT1026" s="2"/>
      <c r="BU1026" s="2"/>
    </row>
    <row r="1027" spans="68:73" x14ac:dyDescent="0.25">
      <c r="BP1027" s="2"/>
      <c r="BQ1027" s="2"/>
      <c r="BR1027" s="2"/>
      <c r="BS1027" s="2"/>
      <c r="BT1027" s="2"/>
      <c r="BU1027" s="2"/>
    </row>
    <row r="1028" spans="68:73" x14ac:dyDescent="0.25">
      <c r="BP1028" s="2"/>
      <c r="BQ1028" s="2"/>
      <c r="BR1028" s="2"/>
      <c r="BS1028" s="2"/>
      <c r="BT1028" s="2"/>
      <c r="BU1028" s="2"/>
    </row>
    <row r="1029" spans="68:73" x14ac:dyDescent="0.25">
      <c r="BP1029" s="2"/>
      <c r="BQ1029" s="2"/>
      <c r="BR1029" s="2"/>
      <c r="BS1029" s="2"/>
      <c r="BT1029" s="2"/>
      <c r="BU1029" s="2"/>
    </row>
    <row r="1030" spans="68:73" x14ac:dyDescent="0.25">
      <c r="BP1030" s="2"/>
      <c r="BQ1030" s="2"/>
      <c r="BR1030" s="2"/>
      <c r="BS1030" s="2"/>
      <c r="BT1030" s="2"/>
      <c r="BU1030" s="2"/>
    </row>
    <row r="1031" spans="68:73" x14ac:dyDescent="0.25">
      <c r="BP1031" s="2"/>
      <c r="BQ1031" s="2"/>
      <c r="BR1031" s="2"/>
      <c r="BS1031" s="2"/>
      <c r="BT1031" s="2"/>
      <c r="BU1031" s="2"/>
    </row>
    <row r="1032" spans="68:73" x14ac:dyDescent="0.25">
      <c r="BP1032" s="2"/>
      <c r="BQ1032" s="2"/>
      <c r="BR1032" s="2"/>
      <c r="BS1032" s="2"/>
      <c r="BT1032" s="2"/>
      <c r="BU1032" s="2"/>
    </row>
    <row r="1033" spans="68:73" x14ac:dyDescent="0.25">
      <c r="BP1033" s="2"/>
      <c r="BQ1033" s="2"/>
      <c r="BR1033" s="2"/>
      <c r="BS1033" s="2"/>
      <c r="BT1033" s="2"/>
      <c r="BU1033" s="2"/>
    </row>
    <row r="1034" spans="68:73" x14ac:dyDescent="0.25">
      <c r="BP1034" s="2"/>
      <c r="BQ1034" s="2"/>
      <c r="BR1034" s="2"/>
      <c r="BS1034" s="2"/>
      <c r="BT1034" s="2"/>
      <c r="BU1034" s="2"/>
    </row>
    <row r="1035" spans="68:73" x14ac:dyDescent="0.25">
      <c r="BP1035" s="2"/>
      <c r="BQ1035" s="2"/>
      <c r="BR1035" s="2"/>
      <c r="BS1035" s="2"/>
      <c r="BT1035" s="2"/>
      <c r="BU1035" s="2"/>
    </row>
    <row r="1036" spans="68:73" x14ac:dyDescent="0.25">
      <c r="BP1036" s="2"/>
      <c r="BQ1036" s="2"/>
      <c r="BR1036" s="2"/>
      <c r="BS1036" s="2"/>
      <c r="BT1036" s="2"/>
      <c r="BU1036" s="2"/>
    </row>
    <row r="1037" spans="68:73" x14ac:dyDescent="0.25">
      <c r="BP1037" s="2"/>
      <c r="BQ1037" s="2"/>
      <c r="BR1037" s="2"/>
      <c r="BS1037" s="2"/>
      <c r="BT1037" s="2"/>
      <c r="BU1037" s="2"/>
    </row>
    <row r="1038" spans="68:73" x14ac:dyDescent="0.25">
      <c r="BP1038" s="2"/>
      <c r="BQ1038" s="2"/>
      <c r="BR1038" s="2"/>
      <c r="BS1038" s="2"/>
      <c r="BT1038" s="2"/>
      <c r="BU1038" s="2"/>
    </row>
    <row r="1039" spans="68:73" x14ac:dyDescent="0.25">
      <c r="BP1039" s="2"/>
      <c r="BQ1039" s="2"/>
      <c r="BR1039" s="2"/>
      <c r="BS1039" s="2"/>
      <c r="BT1039" s="2"/>
      <c r="BU1039" s="2"/>
    </row>
    <row r="1040" spans="68:73" x14ac:dyDescent="0.25">
      <c r="BP1040" s="2"/>
      <c r="BQ1040" s="2"/>
      <c r="BR1040" s="2"/>
      <c r="BS1040" s="2"/>
      <c r="BT1040" s="2"/>
      <c r="BU1040" s="2"/>
    </row>
    <row r="1041" spans="68:73" x14ac:dyDescent="0.25">
      <c r="BP1041" s="2"/>
      <c r="BQ1041" s="2"/>
      <c r="BR1041" s="2"/>
      <c r="BS1041" s="2"/>
      <c r="BT1041" s="2"/>
      <c r="BU1041" s="2"/>
    </row>
    <row r="1042" spans="68:73" x14ac:dyDescent="0.25">
      <c r="BP1042" s="2"/>
      <c r="BQ1042" s="2"/>
      <c r="BR1042" s="2"/>
      <c r="BS1042" s="2"/>
      <c r="BT1042" s="2"/>
      <c r="BU1042" s="2"/>
    </row>
    <row r="1043" spans="68:73" x14ac:dyDescent="0.25">
      <c r="BP1043" s="2"/>
      <c r="BQ1043" s="2"/>
      <c r="BR1043" s="2"/>
      <c r="BS1043" s="2"/>
      <c r="BT1043" s="2"/>
      <c r="BU1043" s="2"/>
    </row>
    <row r="1044" spans="68:73" x14ac:dyDescent="0.25">
      <c r="BP1044" s="2"/>
      <c r="BQ1044" s="2"/>
      <c r="BR1044" s="2"/>
      <c r="BS1044" s="2"/>
      <c r="BT1044" s="2"/>
      <c r="BU1044" s="2"/>
    </row>
    <row r="1045" spans="68:73" x14ac:dyDescent="0.25">
      <c r="BP1045" s="2"/>
      <c r="BQ1045" s="2"/>
      <c r="BR1045" s="2"/>
      <c r="BS1045" s="2"/>
      <c r="BT1045" s="2"/>
      <c r="BU1045" s="2"/>
    </row>
    <row r="1046" spans="68:73" x14ac:dyDescent="0.25">
      <c r="BP1046" s="2"/>
      <c r="BQ1046" s="2"/>
      <c r="BR1046" s="2"/>
      <c r="BS1046" s="2"/>
      <c r="BT1046" s="2"/>
      <c r="BU1046" s="2"/>
    </row>
    <row r="1047" spans="68:73" x14ac:dyDescent="0.25">
      <c r="BP1047" s="2"/>
      <c r="BQ1047" s="2"/>
      <c r="BR1047" s="2"/>
      <c r="BS1047" s="2"/>
      <c r="BT1047" s="2"/>
      <c r="BU1047" s="2"/>
    </row>
    <row r="1048" spans="68:73" x14ac:dyDescent="0.25">
      <c r="BP1048" s="2"/>
      <c r="BQ1048" s="2"/>
      <c r="BR1048" s="2"/>
      <c r="BS1048" s="2"/>
      <c r="BT1048" s="2"/>
      <c r="BU1048" s="2"/>
    </row>
    <row r="1049" spans="68:73" x14ac:dyDescent="0.25">
      <c r="BP1049" s="2"/>
      <c r="BQ1049" s="2"/>
      <c r="BR1049" s="2"/>
      <c r="BS1049" s="2"/>
      <c r="BT1049" s="2"/>
      <c r="BU1049" s="2"/>
    </row>
    <row r="1050" spans="68:73" x14ac:dyDescent="0.25">
      <c r="BP1050" s="2"/>
      <c r="BQ1050" s="2"/>
      <c r="BR1050" s="2"/>
      <c r="BS1050" s="2"/>
      <c r="BT1050" s="2"/>
      <c r="BU1050" s="2"/>
    </row>
    <row r="1051" spans="68:73" x14ac:dyDescent="0.25">
      <c r="BP1051" s="2"/>
      <c r="BQ1051" s="2"/>
      <c r="BR1051" s="2"/>
      <c r="BS1051" s="2"/>
      <c r="BT1051" s="2"/>
      <c r="BU1051" s="2"/>
    </row>
    <row r="1052" spans="68:73" x14ac:dyDescent="0.25">
      <c r="BP1052" s="2"/>
      <c r="BQ1052" s="2"/>
      <c r="BR1052" s="2"/>
      <c r="BS1052" s="2"/>
      <c r="BT1052" s="2"/>
      <c r="BU1052" s="2"/>
    </row>
    <row r="1053" spans="68:73" x14ac:dyDescent="0.25">
      <c r="BP1053" s="2"/>
      <c r="BQ1053" s="2"/>
      <c r="BR1053" s="2"/>
      <c r="BS1053" s="2"/>
      <c r="BT1053" s="2"/>
      <c r="BU1053" s="2"/>
    </row>
    <row r="1054" spans="68:73" x14ac:dyDescent="0.25">
      <c r="BP1054" s="2"/>
      <c r="BQ1054" s="2"/>
      <c r="BR1054" s="2"/>
      <c r="BS1054" s="2"/>
      <c r="BT1054" s="2"/>
      <c r="BU1054" s="2"/>
    </row>
    <row r="1055" spans="68:73" x14ac:dyDescent="0.25">
      <c r="BP1055" s="2"/>
      <c r="BQ1055" s="2"/>
      <c r="BR1055" s="2"/>
      <c r="BS1055" s="2"/>
      <c r="BT1055" s="2"/>
      <c r="BU1055" s="2"/>
    </row>
    <row r="1056" spans="68:73" x14ac:dyDescent="0.25">
      <c r="BP1056" s="2"/>
      <c r="BQ1056" s="2"/>
      <c r="BR1056" s="2"/>
      <c r="BS1056" s="2"/>
      <c r="BT1056" s="2"/>
      <c r="BU1056" s="2"/>
    </row>
    <row r="1057" spans="68:73" x14ac:dyDescent="0.25">
      <c r="BP1057" s="2"/>
      <c r="BQ1057" s="2"/>
      <c r="BR1057" s="2"/>
      <c r="BS1057" s="2"/>
      <c r="BT1057" s="2"/>
      <c r="BU1057" s="2"/>
    </row>
    <row r="1058" spans="68:73" x14ac:dyDescent="0.25">
      <c r="BP1058" s="2"/>
      <c r="BQ1058" s="2"/>
      <c r="BR1058" s="2"/>
      <c r="BS1058" s="2"/>
      <c r="BT1058" s="2"/>
      <c r="BU1058" s="2"/>
    </row>
    <row r="1059" spans="68:73" x14ac:dyDescent="0.25">
      <c r="BP1059" s="2"/>
      <c r="BQ1059" s="2"/>
      <c r="BR1059" s="2"/>
      <c r="BS1059" s="2"/>
      <c r="BT1059" s="2"/>
      <c r="BU1059" s="2"/>
    </row>
    <row r="1060" spans="68:73" x14ac:dyDescent="0.25">
      <c r="BP1060" s="2"/>
      <c r="BQ1060" s="2"/>
      <c r="BR1060" s="2"/>
      <c r="BS1060" s="2"/>
      <c r="BT1060" s="2"/>
      <c r="BU1060" s="2"/>
    </row>
    <row r="1061" spans="68:73" x14ac:dyDescent="0.25">
      <c r="BP1061" s="2"/>
      <c r="BQ1061" s="2"/>
      <c r="BR1061" s="2"/>
      <c r="BS1061" s="2"/>
      <c r="BT1061" s="2"/>
      <c r="BU1061" s="2"/>
    </row>
    <row r="1062" spans="68:73" x14ac:dyDescent="0.25">
      <c r="BP1062" s="2"/>
      <c r="BQ1062" s="2"/>
      <c r="BR1062" s="2"/>
      <c r="BS1062" s="2"/>
      <c r="BT1062" s="2"/>
      <c r="BU1062" s="2"/>
    </row>
    <row r="1063" spans="68:73" x14ac:dyDescent="0.25">
      <c r="BP1063" s="2"/>
      <c r="BQ1063" s="2"/>
      <c r="BR1063" s="2"/>
      <c r="BS1063" s="2"/>
      <c r="BT1063" s="2"/>
      <c r="BU1063" s="2"/>
    </row>
    <row r="1064" spans="68:73" x14ac:dyDescent="0.25">
      <c r="BP1064" s="2"/>
      <c r="BQ1064" s="2"/>
      <c r="BR1064" s="2"/>
      <c r="BS1064" s="2"/>
      <c r="BT1064" s="2"/>
      <c r="BU1064" s="2"/>
    </row>
    <row r="1065" spans="68:73" x14ac:dyDescent="0.25">
      <c r="BP1065" s="2"/>
      <c r="BQ1065" s="2"/>
      <c r="BR1065" s="2"/>
      <c r="BS1065" s="2"/>
      <c r="BT1065" s="2"/>
      <c r="BU1065" s="2"/>
    </row>
    <row r="1066" spans="68:73" x14ac:dyDescent="0.25">
      <c r="BP1066" s="2"/>
      <c r="BQ1066" s="2"/>
      <c r="BR1066" s="2"/>
      <c r="BS1066" s="2"/>
      <c r="BT1066" s="2"/>
      <c r="BU1066" s="2"/>
    </row>
    <row r="1067" spans="68:73" x14ac:dyDescent="0.25">
      <c r="BP1067" s="2"/>
      <c r="BQ1067" s="2"/>
      <c r="BR1067" s="2"/>
      <c r="BS1067" s="2"/>
      <c r="BT1067" s="2"/>
      <c r="BU1067" s="2"/>
    </row>
    <row r="1068" spans="68:73" x14ac:dyDescent="0.25">
      <c r="BP1068" s="2"/>
      <c r="BQ1068" s="2"/>
      <c r="BR1068" s="2"/>
      <c r="BS1068" s="2"/>
      <c r="BT1068" s="2"/>
      <c r="BU1068" s="2"/>
    </row>
    <row r="1069" spans="68:73" x14ac:dyDescent="0.25">
      <c r="BP1069" s="2"/>
      <c r="BQ1069" s="2"/>
      <c r="BR1069" s="2"/>
      <c r="BS1069" s="2"/>
      <c r="BT1069" s="2"/>
      <c r="BU1069" s="2"/>
    </row>
    <row r="1070" spans="68:73" x14ac:dyDescent="0.25">
      <c r="BP1070" s="2"/>
      <c r="BQ1070" s="2"/>
      <c r="BR1070" s="2"/>
      <c r="BS1070" s="2"/>
      <c r="BT1070" s="2"/>
      <c r="BU1070" s="2"/>
    </row>
    <row r="1071" spans="68:73" x14ac:dyDescent="0.25">
      <c r="BP1071" s="2"/>
      <c r="BQ1071" s="2"/>
      <c r="BR1071" s="2"/>
      <c r="BS1071" s="2"/>
      <c r="BT1071" s="2"/>
      <c r="BU1071" s="2"/>
    </row>
    <row r="1072" spans="68:73" x14ac:dyDescent="0.25">
      <c r="BP1072" s="2"/>
      <c r="BQ1072" s="2"/>
      <c r="BR1072" s="2"/>
      <c r="BS1072" s="2"/>
      <c r="BT1072" s="2"/>
      <c r="BU1072" s="2"/>
    </row>
    <row r="1073" spans="68:73" x14ac:dyDescent="0.25">
      <c r="BP1073" s="2"/>
      <c r="BQ1073" s="2"/>
      <c r="BR1073" s="2"/>
      <c r="BS1073" s="2"/>
      <c r="BT1073" s="2"/>
      <c r="BU1073" s="2"/>
    </row>
    <row r="1074" spans="68:73" x14ac:dyDescent="0.25">
      <c r="BP1074" s="2"/>
      <c r="BQ1074" s="2"/>
      <c r="BR1074" s="2"/>
      <c r="BS1074" s="2"/>
      <c r="BT1074" s="2"/>
      <c r="BU1074" s="2"/>
    </row>
    <row r="1075" spans="68:73" x14ac:dyDescent="0.25">
      <c r="BP1075" s="2"/>
      <c r="BQ1075" s="2"/>
      <c r="BR1075" s="2"/>
      <c r="BS1075" s="2"/>
      <c r="BT1075" s="2"/>
      <c r="BU1075" s="2"/>
    </row>
    <row r="1076" spans="68:73" x14ac:dyDescent="0.25">
      <c r="BP1076" s="2"/>
      <c r="BQ1076" s="2"/>
      <c r="BR1076" s="2"/>
      <c r="BS1076" s="2"/>
      <c r="BT1076" s="2"/>
      <c r="BU1076" s="2"/>
    </row>
    <row r="1077" spans="68:73" x14ac:dyDescent="0.25">
      <c r="BP1077" s="2"/>
      <c r="BQ1077" s="2"/>
      <c r="BR1077" s="2"/>
      <c r="BS1077" s="2"/>
      <c r="BT1077" s="2"/>
      <c r="BU1077" s="2"/>
    </row>
    <row r="1078" spans="68:73" x14ac:dyDescent="0.25">
      <c r="BP1078" s="2"/>
      <c r="BQ1078" s="2"/>
      <c r="BR1078" s="2"/>
      <c r="BS1078" s="2"/>
      <c r="BT1078" s="2"/>
      <c r="BU1078" s="2"/>
    </row>
    <row r="1079" spans="68:73" x14ac:dyDescent="0.25">
      <c r="BP1079" s="2"/>
      <c r="BQ1079" s="2"/>
      <c r="BR1079" s="2"/>
      <c r="BS1079" s="2"/>
      <c r="BT1079" s="2"/>
      <c r="BU1079" s="2"/>
    </row>
    <row r="1080" spans="68:73" x14ac:dyDescent="0.25">
      <c r="BP1080" s="2"/>
      <c r="BQ1080" s="2"/>
      <c r="BR1080" s="2"/>
      <c r="BS1080" s="2"/>
      <c r="BT1080" s="2"/>
      <c r="BU1080" s="2"/>
    </row>
    <row r="1081" spans="68:73" x14ac:dyDescent="0.25">
      <c r="BP1081" s="2"/>
      <c r="BQ1081" s="2"/>
      <c r="BR1081" s="2"/>
      <c r="BS1081" s="2"/>
      <c r="BT1081" s="2"/>
      <c r="BU1081" s="2"/>
    </row>
    <row r="1082" spans="68:73" x14ac:dyDescent="0.25">
      <c r="BP1082" s="2"/>
      <c r="BQ1082" s="2"/>
      <c r="BR1082" s="2"/>
      <c r="BS1082" s="2"/>
      <c r="BT1082" s="2"/>
      <c r="BU1082" s="2"/>
    </row>
    <row r="1083" spans="68:73" x14ac:dyDescent="0.25">
      <c r="BP1083" s="2"/>
      <c r="BQ1083" s="2"/>
      <c r="BR1083" s="2"/>
      <c r="BS1083" s="2"/>
      <c r="BT1083" s="2"/>
      <c r="BU1083" s="2"/>
    </row>
    <row r="1084" spans="68:73" x14ac:dyDescent="0.25">
      <c r="BP1084" s="2"/>
      <c r="BQ1084" s="2"/>
      <c r="BR1084" s="2"/>
      <c r="BS1084" s="2"/>
      <c r="BT1084" s="2"/>
      <c r="BU1084" s="2"/>
    </row>
    <row r="1085" spans="68:73" x14ac:dyDescent="0.25">
      <c r="BP1085" s="2"/>
      <c r="BQ1085" s="2"/>
      <c r="BR1085" s="2"/>
      <c r="BS1085" s="2"/>
      <c r="BT1085" s="2"/>
      <c r="BU1085" s="2"/>
    </row>
    <row r="1086" spans="68:73" x14ac:dyDescent="0.25">
      <c r="BP1086" s="2"/>
      <c r="BQ1086" s="2"/>
      <c r="BR1086" s="2"/>
      <c r="BS1086" s="2"/>
      <c r="BT1086" s="2"/>
      <c r="BU1086" s="2"/>
    </row>
    <row r="1087" spans="68:73" x14ac:dyDescent="0.25">
      <c r="BP1087" s="2"/>
      <c r="BQ1087" s="2"/>
      <c r="BR1087" s="2"/>
      <c r="BS1087" s="2"/>
      <c r="BT1087" s="2"/>
      <c r="BU1087" s="2"/>
    </row>
    <row r="1088" spans="68:73" x14ac:dyDescent="0.25">
      <c r="BP1088" s="2"/>
      <c r="BQ1088" s="2"/>
      <c r="BR1088" s="2"/>
      <c r="BS1088" s="2"/>
      <c r="BT1088" s="2"/>
      <c r="BU1088" s="2"/>
    </row>
    <row r="1089" spans="68:73" x14ac:dyDescent="0.25">
      <c r="BP1089" s="2"/>
      <c r="BQ1089" s="2"/>
      <c r="BR1089" s="2"/>
      <c r="BS1089" s="2"/>
      <c r="BT1089" s="2"/>
      <c r="BU1089" s="2"/>
    </row>
    <row r="1090" spans="68:73" x14ac:dyDescent="0.25">
      <c r="BP1090" s="2"/>
      <c r="BQ1090" s="2"/>
      <c r="BR1090" s="2"/>
      <c r="BS1090" s="2"/>
      <c r="BT1090" s="2"/>
      <c r="BU1090" s="2"/>
    </row>
    <row r="1091" spans="68:73" x14ac:dyDescent="0.25">
      <c r="BP1091" s="2"/>
      <c r="BQ1091" s="2"/>
      <c r="BR1091" s="2"/>
      <c r="BS1091" s="2"/>
      <c r="BT1091" s="2"/>
      <c r="BU1091" s="2"/>
    </row>
    <row r="1092" spans="68:73" x14ac:dyDescent="0.25">
      <c r="BP1092" s="2"/>
      <c r="BQ1092" s="2"/>
      <c r="BR1092" s="2"/>
      <c r="BS1092" s="2"/>
      <c r="BT1092" s="2"/>
      <c r="BU1092" s="2"/>
    </row>
    <row r="1093" spans="68:73" x14ac:dyDescent="0.25">
      <c r="BP1093" s="2"/>
      <c r="BQ1093" s="2"/>
      <c r="BR1093" s="2"/>
      <c r="BS1093" s="2"/>
      <c r="BT1093" s="2"/>
      <c r="BU1093" s="2"/>
    </row>
    <row r="1094" spans="68:73" x14ac:dyDescent="0.25">
      <c r="BP1094" s="2"/>
      <c r="BQ1094" s="2"/>
      <c r="BR1094" s="2"/>
      <c r="BS1094" s="2"/>
      <c r="BT1094" s="2"/>
      <c r="BU1094" s="2"/>
    </row>
    <row r="1095" spans="68:73" x14ac:dyDescent="0.25">
      <c r="BP1095" s="2"/>
      <c r="BQ1095" s="2"/>
      <c r="BR1095" s="2"/>
      <c r="BS1095" s="2"/>
      <c r="BT1095" s="2"/>
      <c r="BU1095" s="2"/>
    </row>
    <row r="1096" spans="68:73" x14ac:dyDescent="0.25">
      <c r="BP1096" s="2"/>
      <c r="BQ1096" s="2"/>
      <c r="BR1096" s="2"/>
      <c r="BS1096" s="2"/>
      <c r="BT1096" s="2"/>
      <c r="BU1096" s="2"/>
    </row>
    <row r="1097" spans="68:73" x14ac:dyDescent="0.25">
      <c r="BP1097" s="2"/>
      <c r="BQ1097" s="2"/>
      <c r="BR1097" s="2"/>
      <c r="BS1097" s="2"/>
      <c r="BT1097" s="2"/>
      <c r="BU1097" s="2"/>
    </row>
    <row r="1098" spans="68:73" x14ac:dyDescent="0.25">
      <c r="BP1098" s="2"/>
      <c r="BQ1098" s="2"/>
      <c r="BR1098" s="2"/>
      <c r="BS1098" s="2"/>
      <c r="BT1098" s="2"/>
      <c r="BU1098" s="2"/>
    </row>
    <row r="1099" spans="68:73" x14ac:dyDescent="0.25">
      <c r="BP1099" s="2"/>
      <c r="BQ1099" s="2"/>
      <c r="BR1099" s="2"/>
      <c r="BS1099" s="2"/>
      <c r="BT1099" s="2"/>
      <c r="BU1099" s="2"/>
    </row>
    <row r="1100" spans="68:73" x14ac:dyDescent="0.25">
      <c r="BP1100" s="2"/>
      <c r="BQ1100" s="2"/>
      <c r="BR1100" s="2"/>
      <c r="BS1100" s="2"/>
      <c r="BT1100" s="2"/>
      <c r="BU1100" s="2"/>
    </row>
    <row r="1101" spans="68:73" x14ac:dyDescent="0.25">
      <c r="BP1101" s="2"/>
      <c r="BQ1101" s="2"/>
      <c r="BR1101" s="2"/>
      <c r="BS1101" s="2"/>
      <c r="BT1101" s="2"/>
      <c r="BU1101" s="2"/>
    </row>
    <row r="1102" spans="68:73" x14ac:dyDescent="0.25">
      <c r="BP1102" s="2"/>
      <c r="BQ1102" s="2"/>
      <c r="BR1102" s="2"/>
      <c r="BS1102" s="2"/>
      <c r="BT1102" s="2"/>
      <c r="BU1102" s="2"/>
    </row>
    <row r="1103" spans="68:73" x14ac:dyDescent="0.25">
      <c r="BP1103" s="2"/>
      <c r="BQ1103" s="2"/>
      <c r="BR1103" s="2"/>
      <c r="BS1103" s="2"/>
      <c r="BT1103" s="2"/>
      <c r="BU1103" s="2"/>
    </row>
    <row r="1104" spans="68:73" x14ac:dyDescent="0.25">
      <c r="BP1104" s="2"/>
      <c r="BQ1104" s="2"/>
      <c r="BR1104" s="2"/>
      <c r="BS1104" s="2"/>
      <c r="BT1104" s="2"/>
      <c r="BU1104" s="2"/>
    </row>
    <row r="1105" spans="68:73" x14ac:dyDescent="0.25">
      <c r="BP1105" s="2"/>
      <c r="BQ1105" s="2"/>
      <c r="BR1105" s="2"/>
      <c r="BS1105" s="2"/>
      <c r="BT1105" s="2"/>
      <c r="BU1105" s="2"/>
    </row>
    <row r="1106" spans="68:73" x14ac:dyDescent="0.25">
      <c r="BP1106" s="2"/>
      <c r="BQ1106" s="2"/>
      <c r="BR1106" s="2"/>
      <c r="BS1106" s="2"/>
      <c r="BT1106" s="2"/>
      <c r="BU1106" s="2"/>
    </row>
    <row r="1107" spans="68:73" x14ac:dyDescent="0.25">
      <c r="BP1107" s="2"/>
      <c r="BQ1107" s="2"/>
      <c r="BR1107" s="2"/>
      <c r="BS1107" s="2"/>
      <c r="BT1107" s="2"/>
      <c r="BU1107" s="2"/>
    </row>
    <row r="1108" spans="68:73" x14ac:dyDescent="0.25">
      <c r="BP1108" s="2"/>
      <c r="BQ1108" s="2"/>
      <c r="BR1108" s="2"/>
      <c r="BS1108" s="2"/>
      <c r="BT1108" s="2"/>
      <c r="BU1108" s="2"/>
    </row>
    <row r="1109" spans="68:73" x14ac:dyDescent="0.25">
      <c r="BP1109" s="2"/>
      <c r="BQ1109" s="2"/>
      <c r="BR1109" s="2"/>
      <c r="BS1109" s="2"/>
      <c r="BT1109" s="2"/>
      <c r="BU1109" s="2"/>
    </row>
    <row r="1110" spans="68:73" x14ac:dyDescent="0.25">
      <c r="BP1110" s="2"/>
      <c r="BQ1110" s="2"/>
      <c r="BR1110" s="2"/>
      <c r="BS1110" s="2"/>
      <c r="BT1110" s="2"/>
      <c r="BU1110" s="2"/>
    </row>
    <row r="1111" spans="68:73" x14ac:dyDescent="0.25">
      <c r="BP1111" s="2"/>
      <c r="BQ1111" s="2"/>
      <c r="BR1111" s="2"/>
      <c r="BS1111" s="2"/>
      <c r="BT1111" s="2"/>
      <c r="BU1111" s="2"/>
    </row>
    <row r="1112" spans="68:73" x14ac:dyDescent="0.25">
      <c r="BP1112" s="2"/>
      <c r="BQ1112" s="2"/>
      <c r="BR1112" s="2"/>
      <c r="BS1112" s="2"/>
      <c r="BT1112" s="2"/>
      <c r="BU1112" s="2"/>
    </row>
    <row r="1113" spans="68:73" x14ac:dyDescent="0.25">
      <c r="BP1113" s="2"/>
      <c r="BQ1113" s="2"/>
      <c r="BR1113" s="2"/>
      <c r="BS1113" s="2"/>
      <c r="BT1113" s="2"/>
      <c r="BU1113" s="2"/>
    </row>
    <row r="1114" spans="68:73" x14ac:dyDescent="0.25">
      <c r="BP1114" s="2"/>
      <c r="BQ1114" s="2"/>
      <c r="BR1114" s="2"/>
      <c r="BS1114" s="2"/>
      <c r="BT1114" s="2"/>
      <c r="BU1114" s="2"/>
    </row>
    <row r="1115" spans="68:73" x14ac:dyDescent="0.25">
      <c r="BP1115" s="2"/>
      <c r="BQ1115" s="2"/>
      <c r="BR1115" s="2"/>
      <c r="BS1115" s="2"/>
      <c r="BT1115" s="2"/>
      <c r="BU1115" s="2"/>
    </row>
    <row r="1116" spans="68:73" x14ac:dyDescent="0.25">
      <c r="BP1116" s="2"/>
      <c r="BQ1116" s="2"/>
      <c r="BR1116" s="2"/>
      <c r="BS1116" s="2"/>
      <c r="BT1116" s="2"/>
      <c r="BU1116" s="2"/>
    </row>
    <row r="1117" spans="68:73" x14ac:dyDescent="0.25">
      <c r="BP1117" s="2"/>
      <c r="BQ1117" s="2"/>
      <c r="BR1117" s="2"/>
      <c r="BS1117" s="2"/>
      <c r="BT1117" s="2"/>
      <c r="BU1117" s="2"/>
    </row>
    <row r="1118" spans="68:73" x14ac:dyDescent="0.25">
      <c r="BP1118" s="2"/>
      <c r="BQ1118" s="2"/>
      <c r="BR1118" s="2"/>
      <c r="BS1118" s="2"/>
      <c r="BT1118" s="2"/>
      <c r="BU1118" s="2"/>
    </row>
    <row r="1119" spans="68:73" x14ac:dyDescent="0.25">
      <c r="BP1119" s="2"/>
      <c r="BQ1119" s="2"/>
      <c r="BR1119" s="2"/>
      <c r="BS1119" s="2"/>
      <c r="BT1119" s="2"/>
      <c r="BU1119" s="2"/>
    </row>
    <row r="1120" spans="68:73" x14ac:dyDescent="0.25">
      <c r="BP1120" s="2"/>
      <c r="BQ1120" s="2"/>
      <c r="BR1120" s="2"/>
      <c r="BS1120" s="2"/>
      <c r="BT1120" s="2"/>
      <c r="BU1120" s="2"/>
    </row>
    <row r="1121" spans="68:73" x14ac:dyDescent="0.25">
      <c r="BP1121" s="2"/>
      <c r="BQ1121" s="2"/>
      <c r="BR1121" s="2"/>
      <c r="BS1121" s="2"/>
      <c r="BT1121" s="2"/>
      <c r="BU1121" s="2"/>
    </row>
    <row r="1122" spans="68:73" x14ac:dyDescent="0.25">
      <c r="BP1122" s="2"/>
      <c r="BQ1122" s="2"/>
      <c r="BR1122" s="2"/>
      <c r="BS1122" s="2"/>
      <c r="BT1122" s="2"/>
      <c r="BU1122" s="2"/>
    </row>
    <row r="1123" spans="68:73" x14ac:dyDescent="0.25">
      <c r="BP1123" s="2"/>
      <c r="BQ1123" s="2"/>
      <c r="BR1123" s="2"/>
      <c r="BS1123" s="2"/>
      <c r="BT1123" s="2"/>
      <c r="BU1123" s="2"/>
    </row>
    <row r="1124" spans="68:73" x14ac:dyDescent="0.25">
      <c r="BP1124" s="2"/>
      <c r="BQ1124" s="2"/>
      <c r="BR1124" s="2"/>
      <c r="BS1124" s="2"/>
      <c r="BT1124" s="2"/>
      <c r="BU1124" s="2"/>
    </row>
    <row r="1125" spans="68:73" x14ac:dyDescent="0.25">
      <c r="BP1125" s="2"/>
      <c r="BQ1125" s="2"/>
      <c r="BR1125" s="2"/>
      <c r="BS1125" s="2"/>
      <c r="BT1125" s="2"/>
      <c r="BU1125" s="2"/>
    </row>
    <row r="1126" spans="68:73" x14ac:dyDescent="0.25">
      <c r="BP1126" s="2"/>
      <c r="BQ1126" s="2"/>
      <c r="BR1126" s="2"/>
      <c r="BS1126" s="2"/>
      <c r="BT1126" s="2"/>
      <c r="BU1126" s="2"/>
    </row>
    <row r="1127" spans="68:73" x14ac:dyDescent="0.25">
      <c r="BP1127" s="2"/>
      <c r="BQ1127" s="2"/>
      <c r="BR1127" s="2"/>
      <c r="BS1127" s="2"/>
      <c r="BT1127" s="2"/>
      <c r="BU1127" s="2"/>
    </row>
    <row r="1128" spans="68:73" x14ac:dyDescent="0.25">
      <c r="BP1128" s="2"/>
      <c r="BQ1128" s="2"/>
      <c r="BR1128" s="2"/>
      <c r="BS1128" s="2"/>
      <c r="BT1128" s="2"/>
      <c r="BU1128" s="2"/>
    </row>
    <row r="1129" spans="68:73" x14ac:dyDescent="0.25">
      <c r="BP1129" s="2"/>
      <c r="BQ1129" s="2"/>
      <c r="BR1129" s="2"/>
      <c r="BS1129" s="2"/>
      <c r="BT1129" s="2"/>
      <c r="BU1129" s="2"/>
    </row>
    <row r="1130" spans="68:73" x14ac:dyDescent="0.25">
      <c r="BP1130" s="2"/>
      <c r="BQ1130" s="2"/>
      <c r="BR1130" s="2"/>
      <c r="BS1130" s="2"/>
      <c r="BT1130" s="2"/>
      <c r="BU1130" s="2"/>
    </row>
    <row r="1131" spans="68:73" x14ac:dyDescent="0.25">
      <c r="BP1131" s="2"/>
      <c r="BQ1131" s="2"/>
      <c r="BR1131" s="2"/>
      <c r="BS1131" s="2"/>
      <c r="BT1131" s="2"/>
      <c r="BU1131" s="2"/>
    </row>
    <row r="1132" spans="68:73" x14ac:dyDescent="0.25">
      <c r="BP1132" s="2"/>
      <c r="BQ1132" s="2"/>
      <c r="BR1132" s="2"/>
      <c r="BS1132" s="2"/>
      <c r="BT1132" s="2"/>
      <c r="BU1132" s="2"/>
    </row>
    <row r="1133" spans="68:73" x14ac:dyDescent="0.25">
      <c r="BP1133" s="2"/>
      <c r="BQ1133" s="2"/>
      <c r="BR1133" s="2"/>
      <c r="BS1133" s="2"/>
      <c r="BT1133" s="2"/>
      <c r="BU1133" s="2"/>
    </row>
    <row r="1134" spans="68:73" x14ac:dyDescent="0.25">
      <c r="BP1134" s="2"/>
      <c r="BQ1134" s="2"/>
      <c r="BR1134" s="2"/>
      <c r="BS1134" s="2"/>
      <c r="BT1134" s="2"/>
      <c r="BU1134" s="2"/>
    </row>
    <row r="1135" spans="68:73" x14ac:dyDescent="0.25">
      <c r="BP1135" s="2"/>
      <c r="BQ1135" s="2"/>
      <c r="BR1135" s="2"/>
      <c r="BS1135" s="2"/>
      <c r="BT1135" s="2"/>
      <c r="BU1135" s="2"/>
    </row>
    <row r="1136" spans="68:73" x14ac:dyDescent="0.25">
      <c r="BP1136" s="2"/>
      <c r="BQ1136" s="2"/>
      <c r="BR1136" s="2"/>
      <c r="BS1136" s="2"/>
      <c r="BT1136" s="2"/>
      <c r="BU1136" s="2"/>
    </row>
    <row r="1137" spans="68:73" x14ac:dyDescent="0.25">
      <c r="BP1137" s="2"/>
      <c r="BQ1137" s="2"/>
      <c r="BR1137" s="2"/>
      <c r="BS1137" s="2"/>
      <c r="BT1137" s="2"/>
      <c r="BU1137" s="2"/>
    </row>
    <row r="1138" spans="68:73" x14ac:dyDescent="0.25">
      <c r="BP1138" s="2"/>
      <c r="BQ1138" s="2"/>
      <c r="BR1138" s="2"/>
      <c r="BS1138" s="2"/>
      <c r="BT1138" s="2"/>
      <c r="BU1138" s="2"/>
    </row>
    <row r="1139" spans="68:73" x14ac:dyDescent="0.25">
      <c r="BP1139" s="2"/>
      <c r="BQ1139" s="2"/>
      <c r="BR1139" s="2"/>
      <c r="BS1139" s="2"/>
      <c r="BT1139" s="2"/>
      <c r="BU1139" s="2"/>
    </row>
    <row r="1140" spans="68:73" x14ac:dyDescent="0.25">
      <c r="BP1140" s="2"/>
      <c r="BQ1140" s="2"/>
      <c r="BR1140" s="2"/>
      <c r="BS1140" s="2"/>
      <c r="BT1140" s="2"/>
      <c r="BU1140" s="2"/>
    </row>
    <row r="1141" spans="68:73" x14ac:dyDescent="0.25">
      <c r="BP1141" s="2"/>
      <c r="BQ1141" s="2"/>
      <c r="BR1141" s="2"/>
      <c r="BS1141" s="2"/>
      <c r="BT1141" s="2"/>
      <c r="BU1141" s="2"/>
    </row>
    <row r="1142" spans="68:73" x14ac:dyDescent="0.25">
      <c r="BP1142" s="2"/>
      <c r="BQ1142" s="2"/>
      <c r="BR1142" s="2"/>
      <c r="BS1142" s="2"/>
      <c r="BT1142" s="2"/>
      <c r="BU1142" s="2"/>
    </row>
    <row r="1143" spans="68:73" x14ac:dyDescent="0.25">
      <c r="BP1143" s="2"/>
      <c r="BQ1143" s="2"/>
      <c r="BR1143" s="2"/>
      <c r="BS1143" s="2"/>
      <c r="BT1143" s="2"/>
      <c r="BU1143" s="2"/>
    </row>
    <row r="1144" spans="68:73" x14ac:dyDescent="0.25">
      <c r="BP1144" s="2"/>
      <c r="BQ1144" s="2"/>
      <c r="BR1144" s="2"/>
      <c r="BS1144" s="2"/>
      <c r="BT1144" s="2"/>
      <c r="BU1144" s="2"/>
    </row>
    <row r="1145" spans="68:73" x14ac:dyDescent="0.25">
      <c r="BP1145" s="2"/>
      <c r="BQ1145" s="2"/>
      <c r="BR1145" s="2"/>
      <c r="BS1145" s="2"/>
      <c r="BT1145" s="2"/>
      <c r="BU1145" s="2"/>
    </row>
    <row r="1146" spans="68:73" x14ac:dyDescent="0.25">
      <c r="BP1146" s="2"/>
      <c r="BQ1146" s="2"/>
      <c r="BR1146" s="2"/>
      <c r="BS1146" s="2"/>
      <c r="BT1146" s="2"/>
      <c r="BU1146" s="2"/>
    </row>
    <row r="1147" spans="68:73" x14ac:dyDescent="0.25">
      <c r="BP1147" s="2"/>
      <c r="BQ1147" s="2"/>
      <c r="BR1147" s="2"/>
      <c r="BS1147" s="2"/>
      <c r="BT1147" s="2"/>
      <c r="BU1147" s="2"/>
    </row>
    <row r="1148" spans="68:73" x14ac:dyDescent="0.25">
      <c r="BP1148" s="2"/>
      <c r="BQ1148" s="2"/>
      <c r="BR1148" s="2"/>
      <c r="BS1148" s="2"/>
      <c r="BT1148" s="2"/>
      <c r="BU1148" s="2"/>
    </row>
    <row r="1149" spans="68:73" x14ac:dyDescent="0.25">
      <c r="BP1149" s="2"/>
      <c r="BQ1149" s="2"/>
      <c r="BR1149" s="2"/>
      <c r="BS1149" s="2"/>
      <c r="BT1149" s="2"/>
      <c r="BU1149" s="2"/>
    </row>
    <row r="1150" spans="68:73" x14ac:dyDescent="0.25">
      <c r="BP1150" s="2"/>
      <c r="BQ1150" s="2"/>
      <c r="BR1150" s="2"/>
      <c r="BS1150" s="2"/>
      <c r="BT1150" s="2"/>
      <c r="BU1150" s="2"/>
    </row>
    <row r="1151" spans="68:73" x14ac:dyDescent="0.25">
      <c r="BP1151" s="2"/>
      <c r="BQ1151" s="2"/>
      <c r="BR1151" s="2"/>
      <c r="BS1151" s="2"/>
      <c r="BT1151" s="2"/>
      <c r="BU1151" s="2"/>
    </row>
    <row r="1152" spans="68:73" x14ac:dyDescent="0.25">
      <c r="BP1152" s="2"/>
      <c r="BQ1152" s="2"/>
      <c r="BR1152" s="2"/>
      <c r="BS1152" s="2"/>
      <c r="BT1152" s="2"/>
      <c r="BU1152" s="2"/>
    </row>
    <row r="1153" spans="68:73" x14ac:dyDescent="0.25">
      <c r="BP1153" s="2"/>
      <c r="BQ1153" s="2"/>
      <c r="BR1153" s="2"/>
      <c r="BS1153" s="2"/>
      <c r="BT1153" s="2"/>
      <c r="BU1153" s="2"/>
    </row>
    <row r="1154" spans="68:73" x14ac:dyDescent="0.25">
      <c r="BP1154" s="2"/>
      <c r="BQ1154" s="2"/>
      <c r="BR1154" s="2"/>
      <c r="BS1154" s="2"/>
      <c r="BT1154" s="2"/>
      <c r="BU1154" s="2"/>
    </row>
    <row r="1155" spans="68:73" x14ac:dyDescent="0.25">
      <c r="BP1155" s="2"/>
      <c r="BQ1155" s="2"/>
      <c r="BR1155" s="2"/>
      <c r="BS1155" s="2"/>
      <c r="BT1155" s="2"/>
      <c r="BU1155" s="2"/>
    </row>
    <row r="1156" spans="68:73" x14ac:dyDescent="0.25">
      <c r="BP1156" s="2"/>
      <c r="BQ1156" s="2"/>
      <c r="BR1156" s="2"/>
      <c r="BS1156" s="2"/>
      <c r="BT1156" s="2"/>
      <c r="BU1156" s="2"/>
    </row>
    <row r="1157" spans="68:73" x14ac:dyDescent="0.25">
      <c r="BP1157" s="2"/>
      <c r="BQ1157" s="2"/>
      <c r="BR1157" s="2"/>
      <c r="BS1157" s="2"/>
      <c r="BT1157" s="2"/>
      <c r="BU1157" s="2"/>
    </row>
    <row r="1158" spans="68:73" x14ac:dyDescent="0.25">
      <c r="BP1158" s="2"/>
      <c r="BQ1158" s="2"/>
      <c r="BR1158" s="2"/>
      <c r="BS1158" s="2"/>
      <c r="BT1158" s="2"/>
      <c r="BU1158" s="2"/>
    </row>
    <row r="1159" spans="68:73" x14ac:dyDescent="0.25">
      <c r="BP1159" s="2"/>
      <c r="BQ1159" s="2"/>
      <c r="BR1159" s="2"/>
      <c r="BS1159" s="2"/>
      <c r="BT1159" s="2"/>
      <c r="BU1159" s="2"/>
    </row>
    <row r="1160" spans="68:73" x14ac:dyDescent="0.25">
      <c r="BP1160" s="2"/>
      <c r="BQ1160" s="2"/>
      <c r="BR1160" s="2"/>
      <c r="BS1160" s="2"/>
      <c r="BT1160" s="2"/>
      <c r="BU1160" s="2"/>
    </row>
    <row r="1161" spans="68:73" x14ac:dyDescent="0.25">
      <c r="BP1161" s="2"/>
      <c r="BQ1161" s="2"/>
      <c r="BR1161" s="2"/>
      <c r="BS1161" s="2"/>
      <c r="BT1161" s="2"/>
      <c r="BU1161" s="2"/>
    </row>
    <row r="1162" spans="68:73" x14ac:dyDescent="0.25">
      <c r="BP1162" s="2"/>
      <c r="BQ1162" s="2"/>
      <c r="BR1162" s="2"/>
      <c r="BS1162" s="2"/>
      <c r="BT1162" s="2"/>
      <c r="BU1162" s="2"/>
    </row>
    <row r="1163" spans="68:73" x14ac:dyDescent="0.25">
      <c r="BP1163" s="2"/>
      <c r="BQ1163" s="2"/>
      <c r="BR1163" s="2"/>
      <c r="BS1163" s="2"/>
      <c r="BT1163" s="2"/>
      <c r="BU1163" s="2"/>
    </row>
    <row r="1164" spans="68:73" x14ac:dyDescent="0.25">
      <c r="BP1164" s="2"/>
      <c r="BQ1164" s="2"/>
      <c r="BR1164" s="2"/>
      <c r="BS1164" s="2"/>
      <c r="BT1164" s="2"/>
      <c r="BU1164" s="2"/>
    </row>
    <row r="1165" spans="68:73" x14ac:dyDescent="0.25">
      <c r="BP1165" s="2"/>
      <c r="BQ1165" s="2"/>
      <c r="BR1165" s="2"/>
      <c r="BS1165" s="2"/>
      <c r="BT1165" s="2"/>
      <c r="BU1165" s="2"/>
    </row>
    <row r="1166" spans="68:73" x14ac:dyDescent="0.25">
      <c r="BP1166" s="2"/>
      <c r="BQ1166" s="2"/>
      <c r="BR1166" s="2"/>
      <c r="BS1166" s="2"/>
      <c r="BT1166" s="2"/>
      <c r="BU1166" s="2"/>
    </row>
    <row r="1167" spans="68:73" x14ac:dyDescent="0.25">
      <c r="BP1167" s="2"/>
      <c r="BQ1167" s="2"/>
      <c r="BR1167" s="2"/>
      <c r="BS1167" s="2"/>
      <c r="BT1167" s="2"/>
      <c r="BU1167" s="2"/>
    </row>
    <row r="1168" spans="68:73" x14ac:dyDescent="0.25">
      <c r="BP1168" s="2"/>
      <c r="BQ1168" s="2"/>
      <c r="BR1168" s="2"/>
      <c r="BS1168" s="2"/>
      <c r="BT1168" s="2"/>
      <c r="BU1168" s="2"/>
    </row>
    <row r="1169" spans="68:73" x14ac:dyDescent="0.25">
      <c r="BP1169" s="2"/>
      <c r="BQ1169" s="2"/>
      <c r="BR1169" s="2"/>
      <c r="BS1169" s="2"/>
      <c r="BT1169" s="2"/>
      <c r="BU1169" s="2"/>
    </row>
    <row r="1170" spans="68:73" x14ac:dyDescent="0.25">
      <c r="BP1170" s="2"/>
      <c r="BQ1170" s="2"/>
      <c r="BR1170" s="2"/>
      <c r="BS1170" s="2"/>
      <c r="BT1170" s="2"/>
      <c r="BU1170" s="2"/>
    </row>
    <row r="1171" spans="68:73" x14ac:dyDescent="0.25">
      <c r="BP1171" s="2"/>
      <c r="BQ1171" s="2"/>
      <c r="BR1171" s="2"/>
      <c r="BS1171" s="2"/>
      <c r="BT1171" s="2"/>
      <c r="BU1171" s="2"/>
    </row>
    <row r="1172" spans="68:73" x14ac:dyDescent="0.25">
      <c r="BP1172" s="2"/>
      <c r="BQ1172" s="2"/>
      <c r="BR1172" s="2"/>
      <c r="BS1172" s="2"/>
      <c r="BT1172" s="2"/>
      <c r="BU1172" s="2"/>
    </row>
    <row r="1173" spans="68:73" x14ac:dyDescent="0.25">
      <c r="BP1173" s="2"/>
      <c r="BQ1173" s="2"/>
      <c r="BR1173" s="2"/>
      <c r="BS1173" s="2"/>
      <c r="BT1173" s="2"/>
      <c r="BU1173" s="2"/>
    </row>
    <row r="1174" spans="68:73" x14ac:dyDescent="0.25">
      <c r="BP1174" s="2"/>
      <c r="BQ1174" s="2"/>
      <c r="BR1174" s="2"/>
      <c r="BS1174" s="2"/>
      <c r="BT1174" s="2"/>
      <c r="BU1174" s="2"/>
    </row>
    <row r="1175" spans="68:73" x14ac:dyDescent="0.25">
      <c r="BP1175" s="2"/>
      <c r="BQ1175" s="2"/>
      <c r="BR1175" s="2"/>
      <c r="BS1175" s="2"/>
      <c r="BT1175" s="2"/>
      <c r="BU1175" s="2"/>
    </row>
    <row r="1176" spans="68:73" x14ac:dyDescent="0.25">
      <c r="BP1176" s="2"/>
      <c r="BQ1176" s="2"/>
      <c r="BR1176" s="2"/>
      <c r="BS1176" s="2"/>
      <c r="BT1176" s="2"/>
      <c r="BU1176" s="2"/>
    </row>
    <row r="1177" spans="68:73" x14ac:dyDescent="0.25">
      <c r="BP1177" s="2"/>
      <c r="BQ1177" s="2"/>
      <c r="BR1177" s="2"/>
      <c r="BS1177" s="2"/>
      <c r="BT1177" s="2"/>
      <c r="BU1177" s="2"/>
    </row>
    <row r="1178" spans="68:73" x14ac:dyDescent="0.25">
      <c r="BP1178" s="2"/>
      <c r="BQ1178" s="2"/>
      <c r="BR1178" s="2"/>
      <c r="BS1178" s="2"/>
      <c r="BT1178" s="2"/>
      <c r="BU1178" s="2"/>
    </row>
    <row r="1179" spans="68:73" x14ac:dyDescent="0.25">
      <c r="BP1179" s="2"/>
      <c r="BQ1179" s="2"/>
      <c r="BR1179" s="2"/>
      <c r="BS1179" s="2"/>
      <c r="BT1179" s="2"/>
      <c r="BU1179" s="2"/>
    </row>
    <row r="1180" spans="68:73" x14ac:dyDescent="0.25">
      <c r="BP1180" s="2"/>
      <c r="BQ1180" s="2"/>
      <c r="BR1180" s="2"/>
      <c r="BS1180" s="2"/>
      <c r="BT1180" s="2"/>
      <c r="BU1180" s="2"/>
    </row>
    <row r="1181" spans="68:73" x14ac:dyDescent="0.25">
      <c r="BP1181" s="2"/>
      <c r="BQ1181" s="2"/>
      <c r="BR1181" s="2"/>
      <c r="BS1181" s="2"/>
      <c r="BT1181" s="2"/>
      <c r="BU1181" s="2"/>
    </row>
    <row r="1182" spans="68:73" x14ac:dyDescent="0.25">
      <c r="BP1182" s="2"/>
      <c r="BQ1182" s="2"/>
      <c r="BR1182" s="2"/>
      <c r="BS1182" s="2"/>
      <c r="BT1182" s="2"/>
      <c r="BU1182" s="2"/>
    </row>
    <row r="1183" spans="68:73" x14ac:dyDescent="0.25">
      <c r="BP1183" s="2"/>
      <c r="BQ1183" s="2"/>
      <c r="BR1183" s="2"/>
      <c r="BS1183" s="2"/>
      <c r="BT1183" s="2"/>
      <c r="BU1183" s="2"/>
    </row>
    <row r="1184" spans="68:73" x14ac:dyDescent="0.25">
      <c r="BP1184" s="2"/>
      <c r="BQ1184" s="2"/>
      <c r="BR1184" s="2"/>
      <c r="BS1184" s="2"/>
      <c r="BT1184" s="2"/>
      <c r="BU1184" s="2"/>
    </row>
    <row r="1185" spans="68:73" x14ac:dyDescent="0.25">
      <c r="BP1185" s="2"/>
      <c r="BQ1185" s="2"/>
      <c r="BR1185" s="2"/>
      <c r="BS1185" s="2"/>
      <c r="BT1185" s="2"/>
      <c r="BU1185" s="2"/>
    </row>
    <row r="1186" spans="68:73" x14ac:dyDescent="0.25">
      <c r="BP1186" s="2"/>
      <c r="BQ1186" s="2"/>
      <c r="BR1186" s="2"/>
      <c r="BS1186" s="2"/>
      <c r="BT1186" s="2"/>
      <c r="BU1186" s="2"/>
    </row>
    <row r="1187" spans="68:73" x14ac:dyDescent="0.25">
      <c r="BP1187" s="2"/>
      <c r="BQ1187" s="2"/>
      <c r="BR1187" s="2"/>
      <c r="BS1187" s="2"/>
      <c r="BT1187" s="2"/>
      <c r="BU1187" s="2"/>
    </row>
    <row r="1188" spans="68:73" x14ac:dyDescent="0.25">
      <c r="BP1188" s="2"/>
      <c r="BQ1188" s="2"/>
      <c r="BR1188" s="2"/>
      <c r="BS1188" s="2"/>
      <c r="BT1188" s="2"/>
      <c r="BU1188" s="2"/>
    </row>
    <row r="1189" spans="68:73" x14ac:dyDescent="0.25">
      <c r="BP1189" s="2"/>
      <c r="BQ1189" s="2"/>
      <c r="BR1189" s="2"/>
      <c r="BS1189" s="2"/>
      <c r="BT1189" s="2"/>
      <c r="BU1189" s="2"/>
    </row>
    <row r="1190" spans="68:73" x14ac:dyDescent="0.25">
      <c r="BP1190" s="2"/>
      <c r="BQ1190" s="2"/>
      <c r="BR1190" s="2"/>
      <c r="BS1190" s="2"/>
      <c r="BT1190" s="2"/>
      <c r="BU1190" s="2"/>
    </row>
    <row r="1191" spans="68:73" x14ac:dyDescent="0.25">
      <c r="BP1191" s="2"/>
      <c r="BQ1191" s="2"/>
      <c r="BR1191" s="2"/>
      <c r="BS1191" s="2"/>
      <c r="BT1191" s="2"/>
      <c r="BU1191" s="2"/>
    </row>
    <row r="1192" spans="68:73" x14ac:dyDescent="0.25">
      <c r="BP1192" s="2"/>
      <c r="BQ1192" s="2"/>
      <c r="BR1192" s="2"/>
      <c r="BS1192" s="2"/>
      <c r="BT1192" s="2"/>
      <c r="BU1192" s="2"/>
    </row>
    <row r="1193" spans="68:73" x14ac:dyDescent="0.25">
      <c r="BP1193" s="2"/>
      <c r="BQ1193" s="2"/>
      <c r="BR1193" s="2"/>
      <c r="BS1193" s="2"/>
      <c r="BT1193" s="2"/>
      <c r="BU1193" s="2"/>
    </row>
    <row r="1194" spans="68:73" x14ac:dyDescent="0.25">
      <c r="BP1194" s="2"/>
      <c r="BQ1194" s="2"/>
      <c r="BR1194" s="2"/>
      <c r="BS1194" s="2"/>
      <c r="BT1194" s="2"/>
      <c r="BU1194" s="2"/>
    </row>
    <row r="1195" spans="68:73" x14ac:dyDescent="0.25">
      <c r="BP1195" s="2"/>
      <c r="BQ1195" s="2"/>
      <c r="BR1195" s="2"/>
      <c r="BS1195" s="2"/>
      <c r="BT1195" s="2"/>
      <c r="BU1195" s="2"/>
    </row>
    <row r="1196" spans="68:73" x14ac:dyDescent="0.25">
      <c r="BP1196" s="2"/>
      <c r="BQ1196" s="2"/>
      <c r="BR1196" s="2"/>
      <c r="BS1196" s="2"/>
      <c r="BT1196" s="2"/>
      <c r="BU1196" s="2"/>
    </row>
    <row r="1197" spans="68:73" x14ac:dyDescent="0.25">
      <c r="BP1197" s="2"/>
      <c r="BQ1197" s="2"/>
      <c r="BR1197" s="2"/>
      <c r="BS1197" s="2"/>
      <c r="BT1197" s="2"/>
      <c r="BU1197" s="2"/>
    </row>
    <row r="1198" spans="68:73" x14ac:dyDescent="0.25">
      <c r="BP1198" s="2"/>
      <c r="BQ1198" s="2"/>
      <c r="BR1198" s="2"/>
      <c r="BS1198" s="2"/>
      <c r="BT1198" s="2"/>
      <c r="BU1198" s="2"/>
    </row>
    <row r="1199" spans="68:73" x14ac:dyDescent="0.25">
      <c r="BP1199" s="2"/>
      <c r="BQ1199" s="2"/>
      <c r="BR1199" s="2"/>
      <c r="BS1199" s="2"/>
      <c r="BT1199" s="2"/>
      <c r="BU1199" s="2"/>
    </row>
    <row r="1200" spans="68:73" x14ac:dyDescent="0.25">
      <c r="BP1200" s="2"/>
      <c r="BQ1200" s="2"/>
      <c r="BR1200" s="2"/>
      <c r="BS1200" s="2"/>
      <c r="BT1200" s="2"/>
      <c r="BU1200" s="2"/>
    </row>
    <row r="1201" spans="68:73" x14ac:dyDescent="0.25">
      <c r="BP1201" s="2"/>
      <c r="BQ1201" s="2"/>
      <c r="BR1201" s="2"/>
      <c r="BS1201" s="2"/>
      <c r="BT1201" s="2"/>
      <c r="BU1201" s="2"/>
    </row>
    <row r="1202" spans="68:73" x14ac:dyDescent="0.25">
      <c r="BP1202" s="2"/>
      <c r="BQ1202" s="2"/>
      <c r="BR1202" s="2"/>
      <c r="BS1202" s="2"/>
      <c r="BT1202" s="2"/>
      <c r="BU1202" s="2"/>
    </row>
    <row r="1203" spans="68:73" x14ac:dyDescent="0.25">
      <c r="BP1203" s="2"/>
      <c r="BQ1203" s="2"/>
      <c r="BR1203" s="2"/>
      <c r="BS1203" s="2"/>
      <c r="BT1203" s="2"/>
      <c r="BU1203" s="2"/>
    </row>
    <row r="1204" spans="68:73" x14ac:dyDescent="0.25">
      <c r="BP1204" s="2"/>
      <c r="BQ1204" s="2"/>
      <c r="BR1204" s="2"/>
      <c r="BS1204" s="2"/>
      <c r="BT1204" s="2"/>
      <c r="BU1204" s="2"/>
    </row>
    <row r="1205" spans="68:73" x14ac:dyDescent="0.25">
      <c r="BP1205" s="2"/>
      <c r="BQ1205" s="2"/>
      <c r="BR1205" s="2"/>
      <c r="BS1205" s="2"/>
      <c r="BT1205" s="2"/>
      <c r="BU1205" s="2"/>
    </row>
    <row r="1206" spans="68:73" x14ac:dyDescent="0.25">
      <c r="BP1206" s="2"/>
      <c r="BQ1206" s="2"/>
      <c r="BR1206" s="2"/>
      <c r="BS1206" s="2"/>
      <c r="BT1206" s="2"/>
      <c r="BU1206" s="2"/>
    </row>
    <row r="1207" spans="68:73" x14ac:dyDescent="0.25">
      <c r="BP1207" s="2"/>
      <c r="BQ1207" s="2"/>
      <c r="BR1207" s="2"/>
      <c r="BS1207" s="2"/>
      <c r="BT1207" s="2"/>
      <c r="BU1207" s="2"/>
    </row>
    <row r="1208" spans="68:73" x14ac:dyDescent="0.25">
      <c r="BP1208" s="2"/>
      <c r="BQ1208" s="2"/>
      <c r="BR1208" s="2"/>
      <c r="BS1208" s="2"/>
      <c r="BT1208" s="2"/>
      <c r="BU1208" s="2"/>
    </row>
    <row r="1209" spans="68:73" x14ac:dyDescent="0.25">
      <c r="BP1209" s="2"/>
      <c r="BQ1209" s="2"/>
      <c r="BR1209" s="2"/>
      <c r="BS1209" s="2"/>
      <c r="BT1209" s="2"/>
      <c r="BU1209" s="2"/>
    </row>
    <row r="1210" spans="68:73" x14ac:dyDescent="0.25">
      <c r="BP1210" s="2"/>
      <c r="BQ1210" s="2"/>
      <c r="BR1210" s="2"/>
      <c r="BS1210" s="2"/>
      <c r="BT1210" s="2"/>
      <c r="BU1210" s="2"/>
    </row>
    <row r="1211" spans="68:73" x14ac:dyDescent="0.25">
      <c r="BP1211" s="2"/>
      <c r="BQ1211" s="2"/>
      <c r="BR1211" s="2"/>
      <c r="BS1211" s="2"/>
      <c r="BT1211" s="2"/>
      <c r="BU1211" s="2"/>
    </row>
    <row r="1212" spans="68:73" x14ac:dyDescent="0.25">
      <c r="BP1212" s="2"/>
      <c r="BQ1212" s="2"/>
      <c r="BR1212" s="2"/>
      <c r="BS1212" s="2"/>
      <c r="BT1212" s="2"/>
      <c r="BU1212" s="2"/>
    </row>
    <row r="1213" spans="68:73" x14ac:dyDescent="0.25">
      <c r="BP1213" s="2"/>
      <c r="BQ1213" s="2"/>
      <c r="BR1213" s="2"/>
      <c r="BS1213" s="2"/>
      <c r="BT1213" s="2"/>
      <c r="BU1213" s="2"/>
    </row>
    <row r="1214" spans="68:73" x14ac:dyDescent="0.25">
      <c r="BP1214" s="2"/>
      <c r="BQ1214" s="2"/>
      <c r="BR1214" s="2"/>
      <c r="BS1214" s="2"/>
      <c r="BT1214" s="2"/>
      <c r="BU1214" s="2"/>
    </row>
    <row r="1215" spans="68:73" x14ac:dyDescent="0.25">
      <c r="BP1215" s="2"/>
      <c r="BQ1215" s="2"/>
      <c r="BR1215" s="2"/>
      <c r="BS1215" s="2"/>
      <c r="BT1215" s="2"/>
      <c r="BU1215" s="2"/>
    </row>
    <row r="1216" spans="68:73" x14ac:dyDescent="0.25">
      <c r="BP1216" s="2"/>
      <c r="BQ1216" s="2"/>
      <c r="BR1216" s="2"/>
      <c r="BS1216" s="2"/>
      <c r="BT1216" s="2"/>
      <c r="BU1216" s="2"/>
    </row>
    <row r="1217" spans="68:73" x14ac:dyDescent="0.25">
      <c r="BP1217" s="2"/>
      <c r="BQ1217" s="2"/>
      <c r="BR1217" s="2"/>
      <c r="BS1217" s="2"/>
      <c r="BT1217" s="2"/>
      <c r="BU1217" s="2"/>
    </row>
    <row r="1218" spans="68:73" x14ac:dyDescent="0.25">
      <c r="BP1218" s="2"/>
      <c r="BQ1218" s="2"/>
      <c r="BR1218" s="2"/>
      <c r="BS1218" s="2"/>
      <c r="BT1218" s="2"/>
      <c r="BU1218" s="2"/>
    </row>
    <row r="1219" spans="68:73" x14ac:dyDescent="0.25">
      <c r="BP1219" s="2"/>
      <c r="BQ1219" s="2"/>
      <c r="BR1219" s="2"/>
      <c r="BS1219" s="2"/>
      <c r="BT1219" s="2"/>
      <c r="BU1219" s="2"/>
    </row>
    <row r="1220" spans="68:73" x14ac:dyDescent="0.25">
      <c r="BP1220" s="2"/>
      <c r="BQ1220" s="2"/>
      <c r="BR1220" s="2"/>
      <c r="BS1220" s="2"/>
      <c r="BT1220" s="2"/>
      <c r="BU1220" s="2"/>
    </row>
    <row r="1221" spans="68:73" x14ac:dyDescent="0.25">
      <c r="BP1221" s="2"/>
      <c r="BQ1221" s="2"/>
      <c r="BR1221" s="2"/>
      <c r="BS1221" s="2"/>
      <c r="BT1221" s="2"/>
      <c r="BU1221" s="2"/>
    </row>
    <row r="1222" spans="68:73" x14ac:dyDescent="0.25">
      <c r="BP1222" s="2"/>
      <c r="BQ1222" s="2"/>
      <c r="BR1222" s="2"/>
      <c r="BS1222" s="2"/>
      <c r="BT1222" s="2"/>
      <c r="BU1222" s="2"/>
    </row>
    <row r="1223" spans="68:73" x14ac:dyDescent="0.25">
      <c r="BP1223" s="2"/>
      <c r="BQ1223" s="2"/>
      <c r="BR1223" s="2"/>
      <c r="BS1223" s="2"/>
      <c r="BT1223" s="2"/>
      <c r="BU1223" s="2"/>
    </row>
    <row r="1224" spans="68:73" x14ac:dyDescent="0.25">
      <c r="BP1224" s="2"/>
      <c r="BQ1224" s="2"/>
      <c r="BR1224" s="2"/>
      <c r="BS1224" s="2"/>
      <c r="BT1224" s="2"/>
      <c r="BU1224" s="2"/>
    </row>
    <row r="1225" spans="68:73" x14ac:dyDescent="0.25">
      <c r="BP1225" s="2"/>
      <c r="BQ1225" s="2"/>
      <c r="BR1225" s="2"/>
      <c r="BS1225" s="2"/>
      <c r="BT1225" s="2"/>
      <c r="BU1225" s="2"/>
    </row>
    <row r="1226" spans="68:73" x14ac:dyDescent="0.25">
      <c r="BP1226" s="2"/>
      <c r="BQ1226" s="2"/>
      <c r="BR1226" s="2"/>
      <c r="BS1226" s="2"/>
      <c r="BT1226" s="2"/>
      <c r="BU1226" s="2"/>
    </row>
    <row r="1227" spans="68:73" x14ac:dyDescent="0.25">
      <c r="BP1227" s="2"/>
      <c r="BQ1227" s="2"/>
      <c r="BR1227" s="2"/>
      <c r="BS1227" s="2"/>
      <c r="BT1227" s="2"/>
      <c r="BU1227" s="2"/>
    </row>
    <row r="1228" spans="68:73" x14ac:dyDescent="0.25">
      <c r="BP1228" s="2"/>
      <c r="BQ1228" s="2"/>
      <c r="BR1228" s="2"/>
      <c r="BS1228" s="2"/>
      <c r="BT1228" s="2"/>
      <c r="BU1228" s="2"/>
    </row>
    <row r="1229" spans="68:73" x14ac:dyDescent="0.25">
      <c r="BP1229" s="2"/>
      <c r="BQ1229" s="2"/>
      <c r="BR1229" s="2"/>
      <c r="BS1229" s="2"/>
      <c r="BT1229" s="2"/>
      <c r="BU1229" s="2"/>
    </row>
    <row r="1230" spans="68:73" x14ac:dyDescent="0.25">
      <c r="BP1230" s="2"/>
      <c r="BQ1230" s="2"/>
      <c r="BR1230" s="2"/>
      <c r="BS1230" s="2"/>
      <c r="BT1230" s="2"/>
      <c r="BU1230" s="2"/>
    </row>
    <row r="1231" spans="68:73" x14ac:dyDescent="0.25">
      <c r="BP1231" s="2"/>
      <c r="BQ1231" s="2"/>
      <c r="BR1231" s="2"/>
      <c r="BS1231" s="2"/>
      <c r="BT1231" s="2"/>
      <c r="BU1231" s="2"/>
    </row>
    <row r="1232" spans="68:73" x14ac:dyDescent="0.25">
      <c r="BP1232" s="2"/>
      <c r="BQ1232" s="2"/>
      <c r="BR1232" s="2"/>
      <c r="BS1232" s="2"/>
      <c r="BT1232" s="2"/>
      <c r="BU1232" s="2"/>
    </row>
    <row r="1233" spans="68:73" x14ac:dyDescent="0.25">
      <c r="BP1233" s="2"/>
      <c r="BQ1233" s="2"/>
      <c r="BR1233" s="2"/>
      <c r="BS1233" s="2"/>
      <c r="BT1233" s="2"/>
      <c r="BU1233" s="2"/>
    </row>
    <row r="1234" spans="68:73" x14ac:dyDescent="0.25">
      <c r="BP1234" s="2"/>
      <c r="BQ1234" s="2"/>
      <c r="BR1234" s="2"/>
      <c r="BS1234" s="2"/>
      <c r="BT1234" s="2"/>
      <c r="BU1234" s="2"/>
    </row>
    <row r="1235" spans="68:73" x14ac:dyDescent="0.25">
      <c r="BP1235" s="2"/>
      <c r="BQ1235" s="2"/>
      <c r="BR1235" s="2"/>
      <c r="BS1235" s="2"/>
      <c r="BT1235" s="2"/>
      <c r="BU1235" s="2"/>
    </row>
    <row r="1236" spans="68:73" x14ac:dyDescent="0.25">
      <c r="BP1236" s="2"/>
      <c r="BQ1236" s="2"/>
      <c r="BR1236" s="2"/>
      <c r="BS1236" s="2"/>
      <c r="BT1236" s="2"/>
      <c r="BU1236" s="2"/>
    </row>
    <row r="1237" spans="68:73" x14ac:dyDescent="0.25">
      <c r="BP1237" s="2"/>
      <c r="BQ1237" s="2"/>
      <c r="BR1237" s="2"/>
      <c r="BS1237" s="2"/>
      <c r="BT1237" s="2"/>
      <c r="BU1237" s="2"/>
    </row>
    <row r="1238" spans="68:73" x14ac:dyDescent="0.25">
      <c r="BP1238" s="2"/>
      <c r="BQ1238" s="2"/>
      <c r="BR1238" s="2"/>
      <c r="BS1238" s="2"/>
      <c r="BT1238" s="2"/>
      <c r="BU1238" s="2"/>
    </row>
    <row r="1239" spans="68:73" x14ac:dyDescent="0.25">
      <c r="BP1239" s="2"/>
      <c r="BQ1239" s="2"/>
      <c r="BR1239" s="2"/>
      <c r="BS1239" s="2"/>
      <c r="BT1239" s="2"/>
      <c r="BU1239" s="2"/>
    </row>
    <row r="1240" spans="68:73" x14ac:dyDescent="0.25">
      <c r="BP1240" s="2"/>
      <c r="BQ1240" s="2"/>
      <c r="BR1240" s="2"/>
      <c r="BS1240" s="2"/>
      <c r="BT1240" s="2"/>
      <c r="BU1240" s="2"/>
    </row>
    <row r="1241" spans="68:73" x14ac:dyDescent="0.25">
      <c r="BP1241" s="2"/>
      <c r="BQ1241" s="2"/>
      <c r="BR1241" s="2"/>
      <c r="BS1241" s="2"/>
      <c r="BT1241" s="2"/>
      <c r="BU1241" s="2"/>
    </row>
    <row r="1242" spans="68:73" x14ac:dyDescent="0.25">
      <c r="BP1242" s="2"/>
      <c r="BQ1242" s="2"/>
      <c r="BR1242" s="2"/>
      <c r="BS1242" s="2"/>
      <c r="BT1242" s="2"/>
      <c r="BU1242" s="2"/>
    </row>
    <row r="1243" spans="68:73" x14ac:dyDescent="0.25">
      <c r="BP1243" s="2"/>
      <c r="BQ1243" s="2"/>
      <c r="BR1243" s="2"/>
      <c r="BS1243" s="2"/>
      <c r="BT1243" s="2"/>
      <c r="BU1243" s="2"/>
    </row>
    <row r="1244" spans="68:73" x14ac:dyDescent="0.25">
      <c r="BP1244" s="2"/>
      <c r="BQ1244" s="2"/>
      <c r="BR1244" s="2"/>
      <c r="BS1244" s="2"/>
      <c r="BT1244" s="2"/>
      <c r="BU1244" s="2"/>
    </row>
    <row r="1245" spans="68:73" x14ac:dyDescent="0.25">
      <c r="BP1245" s="2"/>
      <c r="BQ1245" s="2"/>
      <c r="BR1245" s="2"/>
      <c r="BS1245" s="2"/>
      <c r="BT1245" s="2"/>
      <c r="BU1245" s="2"/>
    </row>
    <row r="1246" spans="68:73" x14ac:dyDescent="0.25">
      <c r="BP1246" s="2"/>
      <c r="BQ1246" s="2"/>
      <c r="BR1246" s="2"/>
      <c r="BS1246" s="2"/>
      <c r="BT1246" s="2"/>
      <c r="BU1246" s="2"/>
    </row>
    <row r="1247" spans="68:73" x14ac:dyDescent="0.25">
      <c r="BP1247" s="2"/>
      <c r="BQ1247" s="2"/>
      <c r="BR1247" s="2"/>
      <c r="BS1247" s="2"/>
      <c r="BT1247" s="2"/>
      <c r="BU1247" s="2"/>
    </row>
    <row r="1248" spans="68:73" x14ac:dyDescent="0.25">
      <c r="BP1248" s="2"/>
      <c r="BQ1248" s="2"/>
      <c r="BR1248" s="2"/>
      <c r="BS1248" s="2"/>
      <c r="BT1248" s="2"/>
      <c r="BU1248" s="2"/>
    </row>
    <row r="1249" spans="68:73" x14ac:dyDescent="0.25">
      <c r="BP1249" s="2"/>
      <c r="BQ1249" s="2"/>
      <c r="BR1249" s="2"/>
      <c r="BS1249" s="2"/>
      <c r="BT1249" s="2"/>
      <c r="BU1249" s="2"/>
    </row>
    <row r="1250" spans="68:73" x14ac:dyDescent="0.25">
      <c r="BP1250" s="2"/>
      <c r="BQ1250" s="2"/>
      <c r="BR1250" s="2"/>
      <c r="BS1250" s="2"/>
      <c r="BT1250" s="2"/>
      <c r="BU1250" s="2"/>
    </row>
    <row r="1251" spans="68:73" x14ac:dyDescent="0.25">
      <c r="BP1251" s="2"/>
      <c r="BQ1251" s="2"/>
      <c r="BR1251" s="2"/>
      <c r="BS1251" s="2"/>
      <c r="BT1251" s="2"/>
      <c r="BU1251" s="2"/>
    </row>
    <row r="1252" spans="68:73" x14ac:dyDescent="0.25">
      <c r="BP1252" s="2"/>
      <c r="BQ1252" s="2"/>
      <c r="BR1252" s="2"/>
      <c r="BS1252" s="2"/>
      <c r="BT1252" s="2"/>
      <c r="BU1252" s="2"/>
    </row>
    <row r="1253" spans="68:73" x14ac:dyDescent="0.25">
      <c r="BP1253" s="2"/>
      <c r="BQ1253" s="2"/>
      <c r="BR1253" s="2"/>
      <c r="BS1253" s="2"/>
      <c r="BT1253" s="2"/>
      <c r="BU1253" s="2"/>
    </row>
    <row r="1254" spans="68:73" x14ac:dyDescent="0.25">
      <c r="BP1254" s="2"/>
      <c r="BQ1254" s="2"/>
      <c r="BR1254" s="2"/>
      <c r="BS1254" s="2"/>
      <c r="BT1254" s="2"/>
      <c r="BU1254" s="2"/>
    </row>
    <row r="1255" spans="68:73" x14ac:dyDescent="0.25">
      <c r="BP1255" s="2"/>
      <c r="BQ1255" s="2"/>
      <c r="BR1255" s="2"/>
      <c r="BS1255" s="2"/>
      <c r="BT1255" s="2"/>
      <c r="BU1255" s="2"/>
    </row>
    <row r="1256" spans="68:73" x14ac:dyDescent="0.25">
      <c r="BP1256" s="2"/>
      <c r="BQ1256" s="2"/>
      <c r="BR1256" s="2"/>
      <c r="BS1256" s="2"/>
      <c r="BT1256" s="2"/>
      <c r="BU1256" s="2"/>
    </row>
    <row r="1257" spans="68:73" x14ac:dyDescent="0.25">
      <c r="BP1257" s="2"/>
      <c r="BQ1257" s="2"/>
      <c r="BR1257" s="2"/>
      <c r="BS1257" s="2"/>
      <c r="BT1257" s="2"/>
      <c r="BU1257" s="2"/>
    </row>
    <row r="1258" spans="68:73" x14ac:dyDescent="0.25">
      <c r="BP1258" s="2"/>
      <c r="BQ1258" s="2"/>
      <c r="BR1258" s="2"/>
      <c r="BS1258" s="2"/>
      <c r="BT1258" s="2"/>
      <c r="BU1258" s="2"/>
    </row>
    <row r="1259" spans="68:73" x14ac:dyDescent="0.25">
      <c r="BP1259" s="2"/>
      <c r="BQ1259" s="2"/>
      <c r="BR1259" s="2"/>
      <c r="BS1259" s="2"/>
      <c r="BT1259" s="2"/>
      <c r="BU1259" s="2"/>
    </row>
    <row r="1260" spans="68:73" x14ac:dyDescent="0.25">
      <c r="BP1260" s="2"/>
      <c r="BQ1260" s="2"/>
      <c r="BR1260" s="2"/>
      <c r="BS1260" s="2"/>
      <c r="BT1260" s="2"/>
      <c r="BU1260" s="2"/>
    </row>
    <row r="1261" spans="68:73" x14ac:dyDescent="0.25">
      <c r="BP1261" s="2"/>
      <c r="BQ1261" s="2"/>
      <c r="BR1261" s="2"/>
      <c r="BS1261" s="2"/>
      <c r="BT1261" s="2"/>
      <c r="BU1261" s="2"/>
    </row>
    <row r="1262" spans="68:73" x14ac:dyDescent="0.25">
      <c r="BP1262" s="2"/>
      <c r="BQ1262" s="2"/>
      <c r="BR1262" s="2"/>
      <c r="BS1262" s="2"/>
      <c r="BT1262" s="2"/>
      <c r="BU1262" s="2"/>
    </row>
    <row r="1263" spans="68:73" x14ac:dyDescent="0.25">
      <c r="BP1263" s="2"/>
      <c r="BQ1263" s="2"/>
      <c r="BR1263" s="2"/>
      <c r="BS1263" s="2"/>
      <c r="BT1263" s="2"/>
      <c r="BU1263" s="2"/>
    </row>
    <row r="1264" spans="68:73" x14ac:dyDescent="0.25">
      <c r="BP1264" s="2"/>
      <c r="BQ1264" s="2"/>
      <c r="BR1264" s="2"/>
      <c r="BS1264" s="2"/>
      <c r="BT1264" s="2"/>
      <c r="BU1264" s="2"/>
    </row>
    <row r="1265" spans="68:73" x14ac:dyDescent="0.25">
      <c r="BP1265" s="2"/>
      <c r="BQ1265" s="2"/>
      <c r="BR1265" s="2"/>
      <c r="BS1265" s="2"/>
      <c r="BT1265" s="2"/>
      <c r="BU1265" s="2"/>
    </row>
    <row r="1266" spans="68:73" x14ac:dyDescent="0.25">
      <c r="BP1266" s="2"/>
      <c r="BQ1266" s="2"/>
      <c r="BR1266" s="2"/>
      <c r="BS1266" s="2"/>
      <c r="BT1266" s="2"/>
      <c r="BU1266" s="2"/>
    </row>
    <row r="1267" spans="68:73" x14ac:dyDescent="0.25">
      <c r="BP1267" s="2"/>
      <c r="BQ1267" s="2"/>
      <c r="BR1267" s="2"/>
      <c r="BS1267" s="2"/>
      <c r="BT1267" s="2"/>
      <c r="BU1267" s="2"/>
    </row>
    <row r="1268" spans="68:73" x14ac:dyDescent="0.25">
      <c r="BP1268" s="2"/>
      <c r="BQ1268" s="2"/>
      <c r="BR1268" s="2"/>
      <c r="BS1268" s="2"/>
      <c r="BT1268" s="2"/>
      <c r="BU1268" s="2"/>
    </row>
    <row r="1269" spans="68:73" x14ac:dyDescent="0.25">
      <c r="BP1269" s="2"/>
      <c r="BQ1269" s="2"/>
      <c r="BR1269" s="2"/>
      <c r="BS1269" s="2"/>
      <c r="BT1269" s="2"/>
      <c r="BU1269" s="2"/>
    </row>
    <row r="1270" spans="68:73" x14ac:dyDescent="0.25">
      <c r="BP1270" s="2"/>
      <c r="BQ1270" s="2"/>
      <c r="BR1270" s="2"/>
      <c r="BS1270" s="2"/>
      <c r="BT1270" s="2"/>
      <c r="BU1270" s="2"/>
    </row>
    <row r="1271" spans="68:73" x14ac:dyDescent="0.25">
      <c r="BP1271" s="2"/>
      <c r="BQ1271" s="2"/>
      <c r="BR1271" s="2"/>
      <c r="BS1271" s="2"/>
      <c r="BT1271" s="2"/>
      <c r="BU1271" s="2"/>
    </row>
    <row r="1272" spans="68:73" x14ac:dyDescent="0.25">
      <c r="BP1272" s="2"/>
      <c r="BQ1272" s="2"/>
      <c r="BR1272" s="2"/>
      <c r="BS1272" s="2"/>
      <c r="BT1272" s="2"/>
      <c r="BU1272" s="2"/>
    </row>
    <row r="1273" spans="68:73" x14ac:dyDescent="0.25">
      <c r="BP1273" s="2"/>
      <c r="BQ1273" s="2"/>
      <c r="BR1273" s="2"/>
      <c r="BS1273" s="2"/>
      <c r="BT1273" s="2"/>
      <c r="BU1273" s="2"/>
    </row>
    <row r="1274" spans="68:73" x14ac:dyDescent="0.25">
      <c r="BP1274" s="2"/>
      <c r="BQ1274" s="2"/>
      <c r="BR1274" s="2"/>
      <c r="BS1274" s="2"/>
      <c r="BT1274" s="2"/>
      <c r="BU1274" s="2"/>
    </row>
    <row r="1275" spans="68:73" x14ac:dyDescent="0.25">
      <c r="BP1275" s="2"/>
      <c r="BQ1275" s="2"/>
      <c r="BR1275" s="2"/>
      <c r="BS1275" s="2"/>
      <c r="BT1275" s="2"/>
      <c r="BU1275" s="2"/>
    </row>
    <row r="1276" spans="68:73" x14ac:dyDescent="0.25">
      <c r="BP1276" s="2"/>
      <c r="BQ1276" s="2"/>
      <c r="BR1276" s="2"/>
      <c r="BS1276" s="2"/>
      <c r="BT1276" s="2"/>
      <c r="BU1276" s="2"/>
    </row>
    <row r="1277" spans="68:73" x14ac:dyDescent="0.25">
      <c r="BP1277" s="2"/>
      <c r="BQ1277" s="2"/>
      <c r="BR1277" s="2"/>
      <c r="BS1277" s="2"/>
      <c r="BT1277" s="2"/>
      <c r="BU1277" s="2"/>
    </row>
    <row r="1278" spans="68:73" x14ac:dyDescent="0.25">
      <c r="BP1278" s="2"/>
      <c r="BQ1278" s="2"/>
      <c r="BR1278" s="2"/>
      <c r="BS1278" s="2"/>
      <c r="BT1278" s="2"/>
      <c r="BU1278" s="2"/>
    </row>
    <row r="1279" spans="68:73" x14ac:dyDescent="0.25">
      <c r="BP1279" s="2"/>
      <c r="BQ1279" s="2"/>
      <c r="BR1279" s="2"/>
      <c r="BS1279" s="2"/>
      <c r="BT1279" s="2"/>
      <c r="BU1279" s="2"/>
    </row>
    <row r="1280" spans="68:73" x14ac:dyDescent="0.25">
      <c r="BP1280" s="2"/>
      <c r="BQ1280" s="2"/>
      <c r="BR1280" s="2"/>
      <c r="BS1280" s="2"/>
      <c r="BT1280" s="2"/>
      <c r="BU1280" s="2"/>
    </row>
    <row r="1281" spans="68:73" x14ac:dyDescent="0.25">
      <c r="BP1281" s="2"/>
      <c r="BQ1281" s="2"/>
      <c r="BR1281" s="2"/>
      <c r="BS1281" s="2"/>
      <c r="BT1281" s="2"/>
      <c r="BU1281" s="2"/>
    </row>
    <row r="1282" spans="68:73" x14ac:dyDescent="0.25">
      <c r="BP1282" s="2"/>
      <c r="BQ1282" s="2"/>
      <c r="BR1282" s="2"/>
      <c r="BS1282" s="2"/>
      <c r="BT1282" s="2"/>
      <c r="BU1282" s="2"/>
    </row>
    <row r="1283" spans="68:73" x14ac:dyDescent="0.25">
      <c r="BP1283" s="2"/>
      <c r="BQ1283" s="2"/>
      <c r="BR1283" s="2"/>
      <c r="BS1283" s="2"/>
      <c r="BT1283" s="2"/>
      <c r="BU1283" s="2"/>
    </row>
    <row r="1284" spans="68:73" x14ac:dyDescent="0.25">
      <c r="BP1284" s="2"/>
      <c r="BQ1284" s="2"/>
      <c r="BR1284" s="2"/>
      <c r="BS1284" s="2"/>
      <c r="BT1284" s="2"/>
      <c r="BU1284" s="2"/>
    </row>
    <row r="1285" spans="68:73" x14ac:dyDescent="0.25">
      <c r="BP1285" s="2"/>
      <c r="BQ1285" s="2"/>
      <c r="BR1285" s="2"/>
      <c r="BS1285" s="2"/>
      <c r="BT1285" s="2"/>
      <c r="BU1285" s="2"/>
    </row>
    <row r="1286" spans="68:73" x14ac:dyDescent="0.25">
      <c r="BP1286" s="2"/>
      <c r="BQ1286" s="2"/>
      <c r="BR1286" s="2"/>
      <c r="BS1286" s="2"/>
      <c r="BT1286" s="2"/>
      <c r="BU1286" s="2"/>
    </row>
    <row r="1287" spans="68:73" x14ac:dyDescent="0.25">
      <c r="BP1287" s="2"/>
      <c r="BQ1287" s="2"/>
      <c r="BR1287" s="2"/>
      <c r="BS1287" s="2"/>
      <c r="BT1287" s="2"/>
      <c r="BU1287" s="2"/>
    </row>
    <row r="1288" spans="68:73" x14ac:dyDescent="0.25">
      <c r="BP1288" s="2"/>
      <c r="BQ1288" s="2"/>
      <c r="BR1288" s="2"/>
      <c r="BS1288" s="2"/>
      <c r="BT1288" s="2"/>
      <c r="BU1288" s="2"/>
    </row>
    <row r="1289" spans="68:73" x14ac:dyDescent="0.25">
      <c r="BP1289" s="2"/>
      <c r="BQ1289" s="2"/>
      <c r="BR1289" s="2"/>
      <c r="BS1289" s="2"/>
      <c r="BT1289" s="2"/>
      <c r="BU1289" s="2"/>
    </row>
    <row r="1290" spans="68:73" x14ac:dyDescent="0.25">
      <c r="BP1290" s="2"/>
      <c r="BQ1290" s="2"/>
      <c r="BR1290" s="2"/>
      <c r="BS1290" s="2"/>
      <c r="BT1290" s="2"/>
      <c r="BU1290" s="2"/>
    </row>
    <row r="1291" spans="68:73" x14ac:dyDescent="0.25">
      <c r="BP1291" s="2"/>
      <c r="BQ1291" s="2"/>
      <c r="BR1291" s="2"/>
      <c r="BS1291" s="2"/>
      <c r="BT1291" s="2"/>
      <c r="BU1291" s="2"/>
    </row>
    <row r="1292" spans="68:73" x14ac:dyDescent="0.25">
      <c r="BP1292" s="2"/>
      <c r="BQ1292" s="2"/>
      <c r="BR1292" s="2"/>
      <c r="BS1292" s="2"/>
      <c r="BT1292" s="2"/>
      <c r="BU1292" s="2"/>
    </row>
    <row r="1293" spans="68:73" x14ac:dyDescent="0.25">
      <c r="BP1293" s="2"/>
      <c r="BQ1293" s="2"/>
      <c r="BR1293" s="2"/>
      <c r="BS1293" s="2"/>
      <c r="BT1293" s="2"/>
      <c r="BU1293" s="2"/>
    </row>
    <row r="1294" spans="68:73" x14ac:dyDescent="0.25">
      <c r="BP1294" s="2"/>
      <c r="BQ1294" s="2"/>
      <c r="BR1294" s="2"/>
      <c r="BS1294" s="2"/>
      <c r="BT1294" s="2"/>
      <c r="BU1294" s="2"/>
    </row>
    <row r="1295" spans="68:73" x14ac:dyDescent="0.25">
      <c r="BP1295" s="2"/>
      <c r="BQ1295" s="2"/>
      <c r="BR1295" s="2"/>
      <c r="BS1295" s="2"/>
      <c r="BT1295" s="2"/>
      <c r="BU1295" s="2"/>
    </row>
    <row r="1296" spans="68:73" x14ac:dyDescent="0.25">
      <c r="BP1296" s="2"/>
      <c r="BQ1296" s="2"/>
      <c r="BR1296" s="2"/>
      <c r="BS1296" s="2"/>
      <c r="BT1296" s="2"/>
      <c r="BU1296" s="2"/>
    </row>
    <row r="1297" spans="68:73" x14ac:dyDescent="0.25">
      <c r="BP1297" s="2"/>
      <c r="BQ1297" s="2"/>
      <c r="BR1297" s="2"/>
      <c r="BS1297" s="2"/>
      <c r="BT1297" s="2"/>
      <c r="BU1297" s="2"/>
    </row>
    <row r="1298" spans="68:73" x14ac:dyDescent="0.25">
      <c r="BP1298" s="2"/>
      <c r="BQ1298" s="2"/>
      <c r="BR1298" s="2"/>
      <c r="BS1298" s="2"/>
      <c r="BT1298" s="2"/>
      <c r="BU1298" s="2"/>
    </row>
    <row r="1299" spans="68:73" x14ac:dyDescent="0.25">
      <c r="BP1299" s="2"/>
      <c r="BQ1299" s="2"/>
      <c r="BR1299" s="2"/>
      <c r="BS1299" s="2"/>
      <c r="BT1299" s="2"/>
      <c r="BU1299" s="2"/>
    </row>
    <row r="1300" spans="68:73" x14ac:dyDescent="0.25">
      <c r="BP1300" s="2"/>
      <c r="BQ1300" s="2"/>
      <c r="BR1300" s="2"/>
      <c r="BS1300" s="2"/>
      <c r="BT1300" s="2"/>
      <c r="BU1300" s="2"/>
    </row>
    <row r="1301" spans="68:73" x14ac:dyDescent="0.25">
      <c r="BP1301" s="2"/>
      <c r="BQ1301" s="2"/>
      <c r="BR1301" s="2"/>
      <c r="BS1301" s="2"/>
      <c r="BT1301" s="2"/>
      <c r="BU1301" s="2"/>
    </row>
    <row r="1302" spans="68:73" x14ac:dyDescent="0.25">
      <c r="BP1302" s="2"/>
      <c r="BQ1302" s="2"/>
      <c r="BR1302" s="2"/>
      <c r="BS1302" s="2"/>
      <c r="BT1302" s="2"/>
      <c r="BU1302" s="2"/>
    </row>
    <row r="1303" spans="68:73" x14ac:dyDescent="0.25">
      <c r="BP1303" s="2"/>
      <c r="BQ1303" s="2"/>
      <c r="BR1303" s="2"/>
      <c r="BS1303" s="2"/>
      <c r="BT1303" s="2"/>
      <c r="BU1303" s="2"/>
    </row>
    <row r="1304" spans="68:73" x14ac:dyDescent="0.25">
      <c r="BP1304" s="2"/>
      <c r="BQ1304" s="2"/>
      <c r="BR1304" s="2"/>
      <c r="BS1304" s="2"/>
      <c r="BT1304" s="2"/>
      <c r="BU1304" s="2"/>
    </row>
    <row r="1305" spans="68:73" x14ac:dyDescent="0.25">
      <c r="BP1305" s="2"/>
      <c r="BQ1305" s="2"/>
      <c r="BR1305" s="2"/>
      <c r="BS1305" s="2"/>
      <c r="BT1305" s="2"/>
      <c r="BU1305" s="2"/>
    </row>
    <row r="1306" spans="68:73" x14ac:dyDescent="0.25">
      <c r="BP1306" s="2"/>
      <c r="BQ1306" s="2"/>
      <c r="BR1306" s="2"/>
      <c r="BS1306" s="2"/>
      <c r="BT1306" s="2"/>
      <c r="BU1306" s="2"/>
    </row>
    <row r="1307" spans="68:73" x14ac:dyDescent="0.25">
      <c r="BP1307" s="2"/>
      <c r="BQ1307" s="2"/>
      <c r="BR1307" s="2"/>
      <c r="BS1307" s="2"/>
      <c r="BT1307" s="2"/>
      <c r="BU1307" s="2"/>
    </row>
    <row r="1308" spans="68:73" x14ac:dyDescent="0.25">
      <c r="BP1308" s="2"/>
      <c r="BQ1308" s="2"/>
      <c r="BR1308" s="2"/>
      <c r="BS1308" s="2"/>
      <c r="BT1308" s="2"/>
      <c r="BU1308" s="2"/>
    </row>
    <row r="1309" spans="68:73" x14ac:dyDescent="0.25">
      <c r="BP1309" s="2"/>
      <c r="BQ1309" s="2"/>
      <c r="BR1309" s="2"/>
      <c r="BS1309" s="2"/>
      <c r="BT1309" s="2"/>
      <c r="BU1309" s="2"/>
    </row>
    <row r="1310" spans="68:73" x14ac:dyDescent="0.25">
      <c r="BP1310" s="2"/>
      <c r="BQ1310" s="2"/>
      <c r="BR1310" s="2"/>
      <c r="BS1310" s="2"/>
      <c r="BT1310" s="2"/>
      <c r="BU1310" s="2"/>
    </row>
    <row r="1311" spans="68:73" x14ac:dyDescent="0.25">
      <c r="BP1311" s="2"/>
      <c r="BQ1311" s="2"/>
      <c r="BR1311" s="2"/>
      <c r="BS1311" s="2"/>
      <c r="BT1311" s="2"/>
      <c r="BU1311" s="2"/>
    </row>
    <row r="1312" spans="68:73" x14ac:dyDescent="0.25">
      <c r="BP1312" s="2"/>
      <c r="BQ1312" s="2"/>
      <c r="BR1312" s="2"/>
      <c r="BS1312" s="2"/>
      <c r="BT1312" s="2"/>
      <c r="BU1312" s="2"/>
    </row>
    <row r="1313" spans="68:73" x14ac:dyDescent="0.25">
      <c r="BP1313" s="2"/>
      <c r="BQ1313" s="2"/>
      <c r="BR1313" s="2"/>
      <c r="BS1313" s="2"/>
      <c r="BT1313" s="2"/>
      <c r="BU1313" s="2"/>
    </row>
    <row r="1314" spans="68:73" x14ac:dyDescent="0.25">
      <c r="BP1314" s="2"/>
      <c r="BQ1314" s="2"/>
      <c r="BR1314" s="2"/>
      <c r="BS1314" s="2"/>
      <c r="BT1314" s="2"/>
      <c r="BU1314" s="2"/>
    </row>
    <row r="1315" spans="68:73" x14ac:dyDescent="0.25">
      <c r="BP1315" s="2"/>
      <c r="BQ1315" s="2"/>
      <c r="BR1315" s="2"/>
      <c r="BS1315" s="2"/>
      <c r="BT1315" s="2"/>
      <c r="BU1315" s="2"/>
    </row>
    <row r="1316" spans="68:73" x14ac:dyDescent="0.25">
      <c r="BP1316" s="2"/>
      <c r="BQ1316" s="2"/>
      <c r="BR1316" s="2"/>
      <c r="BS1316" s="2"/>
      <c r="BT1316" s="2"/>
      <c r="BU1316" s="2"/>
    </row>
    <row r="1317" spans="68:73" x14ac:dyDescent="0.25">
      <c r="BP1317" s="2"/>
      <c r="BQ1317" s="2"/>
      <c r="BR1317" s="2"/>
      <c r="BS1317" s="2"/>
      <c r="BT1317" s="2"/>
      <c r="BU1317" s="2"/>
    </row>
    <row r="1318" spans="68:73" x14ac:dyDescent="0.25">
      <c r="BP1318" s="2"/>
      <c r="BQ1318" s="2"/>
      <c r="BR1318" s="2"/>
      <c r="BS1318" s="2"/>
      <c r="BT1318" s="2"/>
      <c r="BU1318" s="2"/>
    </row>
    <row r="1319" spans="68:73" x14ac:dyDescent="0.25">
      <c r="BP1319" s="2"/>
      <c r="BQ1319" s="2"/>
      <c r="BR1319" s="2"/>
      <c r="BS1319" s="2"/>
      <c r="BT1319" s="2"/>
      <c r="BU1319" s="2"/>
    </row>
    <row r="1320" spans="68:73" x14ac:dyDescent="0.25">
      <c r="BP1320" s="2"/>
      <c r="BQ1320" s="2"/>
      <c r="BR1320" s="2"/>
      <c r="BS1320" s="2"/>
      <c r="BT1320" s="2"/>
      <c r="BU1320" s="2"/>
    </row>
    <row r="1321" spans="68:73" x14ac:dyDescent="0.25">
      <c r="BP1321" s="2"/>
      <c r="BQ1321" s="2"/>
      <c r="BR1321" s="2"/>
      <c r="BS1321" s="2"/>
      <c r="BT1321" s="2"/>
      <c r="BU1321" s="2"/>
    </row>
    <row r="1322" spans="68:73" x14ac:dyDescent="0.25">
      <c r="BP1322" s="2"/>
      <c r="BQ1322" s="2"/>
      <c r="BR1322" s="2"/>
      <c r="BS1322" s="2"/>
      <c r="BT1322" s="2"/>
      <c r="BU1322" s="2"/>
    </row>
    <row r="1323" spans="68:73" x14ac:dyDescent="0.25">
      <c r="BP1323" s="2"/>
      <c r="BQ1323" s="2"/>
      <c r="BR1323" s="2"/>
      <c r="BS1323" s="2"/>
      <c r="BT1323" s="2"/>
      <c r="BU1323" s="2"/>
    </row>
    <row r="1324" spans="68:73" x14ac:dyDescent="0.25">
      <c r="BP1324" s="2"/>
      <c r="BQ1324" s="2"/>
      <c r="BR1324" s="2"/>
      <c r="BS1324" s="2"/>
      <c r="BT1324" s="2"/>
      <c r="BU1324" s="2"/>
    </row>
    <row r="1325" spans="68:73" x14ac:dyDescent="0.25">
      <c r="BP1325" s="2"/>
      <c r="BQ1325" s="2"/>
      <c r="BR1325" s="2"/>
      <c r="BS1325" s="2"/>
      <c r="BT1325" s="2"/>
      <c r="BU1325" s="2"/>
    </row>
    <row r="1326" spans="68:73" x14ac:dyDescent="0.25">
      <c r="BP1326" s="2"/>
      <c r="BQ1326" s="2"/>
      <c r="BR1326" s="2"/>
      <c r="BS1326" s="2"/>
      <c r="BT1326" s="2"/>
      <c r="BU1326" s="2"/>
    </row>
    <row r="1327" spans="68:73" x14ac:dyDescent="0.25">
      <c r="BP1327" s="2"/>
      <c r="BQ1327" s="2"/>
      <c r="BR1327" s="2"/>
      <c r="BS1327" s="2"/>
      <c r="BT1327" s="2"/>
      <c r="BU1327" s="2"/>
    </row>
    <row r="1328" spans="68:73" x14ac:dyDescent="0.25">
      <c r="BP1328" s="2"/>
      <c r="BQ1328" s="2"/>
      <c r="BR1328" s="2"/>
      <c r="BS1328" s="2"/>
      <c r="BT1328" s="2"/>
      <c r="BU1328" s="2"/>
    </row>
    <row r="1329" spans="68:73" x14ac:dyDescent="0.25">
      <c r="BP1329" s="2"/>
      <c r="BQ1329" s="2"/>
      <c r="BR1329" s="2"/>
      <c r="BS1329" s="2"/>
      <c r="BT1329" s="2"/>
      <c r="BU1329" s="2"/>
    </row>
    <row r="1330" spans="68:73" x14ac:dyDescent="0.25">
      <c r="BP1330" s="2"/>
      <c r="BQ1330" s="2"/>
      <c r="BR1330" s="2"/>
      <c r="BS1330" s="2"/>
      <c r="BT1330" s="2"/>
      <c r="BU1330" s="2"/>
    </row>
    <row r="1331" spans="68:73" x14ac:dyDescent="0.25">
      <c r="BP1331" s="2"/>
      <c r="BQ1331" s="2"/>
      <c r="BR1331" s="2"/>
      <c r="BS1331" s="2"/>
      <c r="BT1331" s="2"/>
      <c r="BU1331" s="2"/>
    </row>
    <row r="1332" spans="68:73" x14ac:dyDescent="0.25">
      <c r="BP1332" s="2"/>
      <c r="BQ1332" s="2"/>
      <c r="BR1332" s="2"/>
      <c r="BS1332" s="2"/>
      <c r="BT1332" s="2"/>
      <c r="BU1332" s="2"/>
    </row>
    <row r="1333" spans="68:73" x14ac:dyDescent="0.25">
      <c r="BP1333" s="2"/>
      <c r="BQ1333" s="2"/>
      <c r="BR1333" s="2"/>
      <c r="BS1333" s="2"/>
      <c r="BT1333" s="2"/>
      <c r="BU1333" s="2"/>
    </row>
    <row r="1334" spans="68:73" x14ac:dyDescent="0.25">
      <c r="BP1334" s="2"/>
      <c r="BQ1334" s="2"/>
      <c r="BR1334" s="2"/>
      <c r="BS1334" s="2"/>
      <c r="BT1334" s="2"/>
      <c r="BU1334" s="2"/>
    </row>
    <row r="1335" spans="68:73" x14ac:dyDescent="0.25">
      <c r="BP1335" s="2"/>
      <c r="BQ1335" s="2"/>
      <c r="BR1335" s="2"/>
      <c r="BS1335" s="2"/>
      <c r="BT1335" s="2"/>
      <c r="BU1335" s="2"/>
    </row>
    <row r="1336" spans="68:73" x14ac:dyDescent="0.25">
      <c r="BP1336" s="2"/>
      <c r="BQ1336" s="2"/>
      <c r="BR1336" s="2"/>
      <c r="BS1336" s="2"/>
      <c r="BT1336" s="2"/>
      <c r="BU1336" s="2"/>
    </row>
    <row r="1337" spans="68:73" x14ac:dyDescent="0.25">
      <c r="BP1337" s="2"/>
      <c r="BQ1337" s="2"/>
      <c r="BR1337" s="2"/>
      <c r="BS1337" s="2"/>
      <c r="BT1337" s="2"/>
      <c r="BU1337" s="2"/>
    </row>
    <row r="1338" spans="68:73" x14ac:dyDescent="0.25">
      <c r="BP1338" s="2"/>
      <c r="BQ1338" s="2"/>
      <c r="BR1338" s="2"/>
      <c r="BS1338" s="2"/>
      <c r="BT1338" s="2"/>
      <c r="BU1338" s="2"/>
    </row>
    <row r="1339" spans="68:73" x14ac:dyDescent="0.25">
      <c r="BP1339" s="2"/>
      <c r="BQ1339" s="2"/>
      <c r="BR1339" s="2"/>
      <c r="BS1339" s="2"/>
      <c r="BT1339" s="2"/>
      <c r="BU1339" s="2"/>
    </row>
    <row r="1340" spans="68:73" x14ac:dyDescent="0.25">
      <c r="BP1340" s="2"/>
      <c r="BQ1340" s="2"/>
      <c r="BR1340" s="2"/>
      <c r="BS1340" s="2"/>
      <c r="BT1340" s="2"/>
      <c r="BU1340" s="2"/>
    </row>
    <row r="1341" spans="68:73" x14ac:dyDescent="0.25">
      <c r="BP1341" s="2"/>
      <c r="BQ1341" s="2"/>
      <c r="BR1341" s="2"/>
      <c r="BS1341" s="2"/>
      <c r="BT1341" s="2"/>
      <c r="BU1341" s="2"/>
    </row>
    <row r="1342" spans="68:73" x14ac:dyDescent="0.25">
      <c r="BP1342" s="2"/>
      <c r="BQ1342" s="2"/>
      <c r="BR1342" s="2"/>
      <c r="BS1342" s="2"/>
      <c r="BT1342" s="2"/>
      <c r="BU1342" s="2"/>
    </row>
    <row r="1343" spans="68:73" x14ac:dyDescent="0.25">
      <c r="BP1343" s="2"/>
      <c r="BQ1343" s="2"/>
      <c r="BR1343" s="2"/>
      <c r="BS1343" s="2"/>
      <c r="BT1343" s="2"/>
      <c r="BU1343" s="2"/>
    </row>
    <row r="1344" spans="68:73" x14ac:dyDescent="0.25">
      <c r="BP1344" s="2"/>
      <c r="BQ1344" s="2"/>
      <c r="BR1344" s="2"/>
      <c r="BS1344" s="2"/>
      <c r="BT1344" s="2"/>
      <c r="BU1344" s="2"/>
    </row>
    <row r="1345" spans="68:73" x14ac:dyDescent="0.25">
      <c r="BP1345" s="2"/>
      <c r="BQ1345" s="2"/>
      <c r="BR1345" s="2"/>
      <c r="BS1345" s="2"/>
      <c r="BT1345" s="2"/>
      <c r="BU1345" s="2"/>
    </row>
    <row r="1346" spans="68:73" x14ac:dyDescent="0.25">
      <c r="BP1346" s="2"/>
      <c r="BQ1346" s="2"/>
      <c r="BR1346" s="2"/>
      <c r="BS1346" s="2"/>
      <c r="BT1346" s="2"/>
      <c r="BU1346" s="2"/>
    </row>
    <row r="1347" spans="68:73" x14ac:dyDescent="0.25">
      <c r="BP1347" s="2"/>
      <c r="BQ1347" s="2"/>
      <c r="BR1347" s="2"/>
      <c r="BS1347" s="2"/>
      <c r="BT1347" s="2"/>
      <c r="BU1347" s="2"/>
    </row>
    <row r="1348" spans="68:73" x14ac:dyDescent="0.25">
      <c r="BP1348" s="2"/>
      <c r="BQ1348" s="2"/>
      <c r="BR1348" s="2"/>
      <c r="BS1348" s="2"/>
      <c r="BT1348" s="2"/>
      <c r="BU1348" s="2"/>
    </row>
    <row r="1349" spans="68:73" x14ac:dyDescent="0.25">
      <c r="BP1349" s="2"/>
      <c r="BQ1349" s="2"/>
      <c r="BR1349" s="2"/>
      <c r="BS1349" s="2"/>
      <c r="BT1349" s="2"/>
      <c r="BU1349" s="2"/>
    </row>
    <row r="1350" spans="68:73" x14ac:dyDescent="0.25">
      <c r="BP1350" s="2"/>
      <c r="BQ1350" s="2"/>
      <c r="BR1350" s="2"/>
      <c r="BS1350" s="2"/>
      <c r="BT1350" s="2"/>
      <c r="BU1350" s="2"/>
    </row>
    <row r="1351" spans="68:73" x14ac:dyDescent="0.25">
      <c r="BP1351" s="2"/>
      <c r="BQ1351" s="2"/>
      <c r="BR1351" s="2"/>
      <c r="BS1351" s="2"/>
      <c r="BT1351" s="2"/>
      <c r="BU1351" s="2"/>
    </row>
    <row r="1352" spans="68:73" x14ac:dyDescent="0.25">
      <c r="BP1352" s="2"/>
      <c r="BQ1352" s="2"/>
      <c r="BR1352" s="2"/>
      <c r="BS1352" s="2"/>
      <c r="BT1352" s="2"/>
      <c r="BU1352" s="2"/>
    </row>
    <row r="1353" spans="68:73" x14ac:dyDescent="0.25">
      <c r="BP1353" s="2"/>
      <c r="BQ1353" s="2"/>
      <c r="BR1353" s="2"/>
      <c r="BS1353" s="2"/>
      <c r="BT1353" s="2"/>
      <c r="BU1353" s="2"/>
    </row>
    <row r="1354" spans="68:73" x14ac:dyDescent="0.25">
      <c r="BP1354" s="2"/>
      <c r="BQ1354" s="2"/>
      <c r="BR1354" s="2"/>
      <c r="BS1354" s="2"/>
      <c r="BT1354" s="2"/>
      <c r="BU1354" s="2"/>
    </row>
    <row r="1355" spans="68:73" x14ac:dyDescent="0.25">
      <c r="BP1355" s="2"/>
      <c r="BQ1355" s="2"/>
      <c r="BR1355" s="2"/>
      <c r="BS1355" s="2"/>
      <c r="BT1355" s="2"/>
      <c r="BU1355" s="2"/>
    </row>
    <row r="1356" spans="68:73" x14ac:dyDescent="0.25">
      <c r="BP1356" s="2"/>
      <c r="BQ1356" s="2"/>
      <c r="BR1356" s="2"/>
      <c r="BS1356" s="2"/>
      <c r="BT1356" s="2"/>
      <c r="BU1356" s="2"/>
    </row>
    <row r="1357" spans="68:73" x14ac:dyDescent="0.25">
      <c r="BP1357" s="2"/>
      <c r="BQ1357" s="2"/>
      <c r="BR1357" s="2"/>
      <c r="BS1357" s="2"/>
      <c r="BT1357" s="2"/>
      <c r="BU1357" s="2"/>
    </row>
    <row r="1358" spans="68:73" x14ac:dyDescent="0.25">
      <c r="BP1358" s="2"/>
      <c r="BQ1358" s="2"/>
      <c r="BR1358" s="2"/>
      <c r="BS1358" s="2"/>
      <c r="BT1358" s="2"/>
      <c r="BU1358" s="2"/>
    </row>
    <row r="1359" spans="68:73" x14ac:dyDescent="0.25">
      <c r="BP1359" s="2"/>
      <c r="BQ1359" s="2"/>
      <c r="BR1359" s="2"/>
      <c r="BS1359" s="2"/>
      <c r="BT1359" s="2"/>
      <c r="BU1359" s="2"/>
    </row>
    <row r="1360" spans="68:73" x14ac:dyDescent="0.25">
      <c r="BP1360" s="2"/>
      <c r="BQ1360" s="2"/>
      <c r="BR1360" s="2"/>
      <c r="BS1360" s="2"/>
      <c r="BT1360" s="2"/>
      <c r="BU1360" s="2"/>
    </row>
    <row r="1361" spans="68:73" x14ac:dyDescent="0.25">
      <c r="BP1361" s="2"/>
      <c r="BQ1361" s="2"/>
      <c r="BR1361" s="2"/>
      <c r="BS1361" s="2"/>
      <c r="BT1361" s="2"/>
      <c r="BU1361" s="2"/>
    </row>
    <row r="1362" spans="68:73" x14ac:dyDescent="0.25">
      <c r="BP1362" s="2"/>
      <c r="BQ1362" s="2"/>
      <c r="BR1362" s="2"/>
      <c r="BS1362" s="2"/>
      <c r="BT1362" s="2"/>
      <c r="BU1362" s="2"/>
    </row>
    <row r="1363" spans="68:73" x14ac:dyDescent="0.25">
      <c r="BP1363" s="2"/>
      <c r="BQ1363" s="2"/>
      <c r="BR1363" s="2"/>
      <c r="BS1363" s="2"/>
      <c r="BT1363" s="2"/>
      <c r="BU1363" s="2"/>
    </row>
    <row r="1364" spans="68:73" x14ac:dyDescent="0.25">
      <c r="BP1364" s="2"/>
      <c r="BQ1364" s="2"/>
      <c r="BR1364" s="2"/>
      <c r="BS1364" s="2"/>
      <c r="BT1364" s="2"/>
      <c r="BU1364" s="2"/>
    </row>
    <row r="1365" spans="68:73" x14ac:dyDescent="0.25">
      <c r="BP1365" s="2"/>
      <c r="BQ1365" s="2"/>
      <c r="BR1365" s="2"/>
      <c r="BS1365" s="2"/>
      <c r="BT1365" s="2"/>
      <c r="BU1365" s="2"/>
    </row>
    <row r="1366" spans="68:73" x14ac:dyDescent="0.25">
      <c r="BP1366" s="2"/>
      <c r="BQ1366" s="2"/>
      <c r="BR1366" s="2"/>
      <c r="BS1366" s="2"/>
      <c r="BT1366" s="2"/>
      <c r="BU1366" s="2"/>
    </row>
    <row r="1367" spans="68:73" x14ac:dyDescent="0.25">
      <c r="BP1367" s="2"/>
      <c r="BQ1367" s="2"/>
      <c r="BR1367" s="2"/>
      <c r="BS1367" s="2"/>
      <c r="BT1367" s="2"/>
      <c r="BU1367" s="2"/>
    </row>
    <row r="1368" spans="68:73" x14ac:dyDescent="0.25">
      <c r="BP1368" s="2"/>
      <c r="BQ1368" s="2"/>
      <c r="BR1368" s="2"/>
      <c r="BS1368" s="2"/>
      <c r="BT1368" s="2"/>
      <c r="BU1368" s="2"/>
    </row>
    <row r="1369" spans="68:73" x14ac:dyDescent="0.25">
      <c r="BP1369" s="2"/>
      <c r="BQ1369" s="2"/>
      <c r="BR1369" s="2"/>
      <c r="BS1369" s="2"/>
      <c r="BT1369" s="2"/>
      <c r="BU1369" s="2"/>
    </row>
    <row r="1370" spans="68:73" x14ac:dyDescent="0.25">
      <c r="BP1370" s="2"/>
      <c r="BQ1370" s="2"/>
      <c r="BR1370" s="2"/>
      <c r="BS1370" s="2"/>
      <c r="BT1370" s="2"/>
      <c r="BU1370" s="2"/>
    </row>
    <row r="1371" spans="68:73" x14ac:dyDescent="0.25">
      <c r="BP1371" s="2"/>
      <c r="BQ1371" s="2"/>
      <c r="BR1371" s="2"/>
      <c r="BS1371" s="2"/>
      <c r="BT1371" s="2"/>
      <c r="BU1371" s="2"/>
    </row>
    <row r="1372" spans="68:73" x14ac:dyDescent="0.25">
      <c r="BP1372" s="2"/>
      <c r="BQ1372" s="2"/>
      <c r="BR1372" s="2"/>
      <c r="BS1372" s="2"/>
      <c r="BT1372" s="2"/>
      <c r="BU1372" s="2"/>
    </row>
    <row r="1373" spans="68:73" x14ac:dyDescent="0.25">
      <c r="BP1373" s="2"/>
      <c r="BQ1373" s="2"/>
      <c r="BR1373" s="2"/>
      <c r="BS1373" s="2"/>
      <c r="BT1373" s="2"/>
      <c r="BU1373" s="2"/>
    </row>
    <row r="1374" spans="68:73" x14ac:dyDescent="0.25">
      <c r="BP1374" s="2"/>
      <c r="BQ1374" s="2"/>
      <c r="BR1374" s="2"/>
      <c r="BS1374" s="2"/>
      <c r="BT1374" s="2"/>
      <c r="BU1374" s="2"/>
    </row>
    <row r="1375" spans="68:73" x14ac:dyDescent="0.25">
      <c r="BP1375" s="2"/>
      <c r="BQ1375" s="2"/>
      <c r="BR1375" s="2"/>
      <c r="BS1375" s="2"/>
      <c r="BT1375" s="2"/>
      <c r="BU1375" s="2"/>
    </row>
    <row r="1376" spans="68:73" x14ac:dyDescent="0.25">
      <c r="BP1376" s="2"/>
      <c r="BQ1376" s="2"/>
      <c r="BR1376" s="2"/>
      <c r="BS1376" s="2"/>
      <c r="BT1376" s="2"/>
      <c r="BU1376" s="2"/>
    </row>
    <row r="1377" spans="68:73" x14ac:dyDescent="0.25">
      <c r="BP1377" s="2"/>
      <c r="BQ1377" s="2"/>
      <c r="BR1377" s="2"/>
      <c r="BS1377" s="2"/>
      <c r="BT1377" s="2"/>
      <c r="BU1377" s="2"/>
    </row>
    <row r="1378" spans="68:73" x14ac:dyDescent="0.25">
      <c r="BP1378" s="2"/>
      <c r="BQ1378" s="2"/>
      <c r="BR1378" s="2"/>
      <c r="BS1378" s="2"/>
      <c r="BT1378" s="2"/>
      <c r="BU1378" s="2"/>
    </row>
    <row r="1379" spans="68:73" x14ac:dyDescent="0.25">
      <c r="BP1379" s="2"/>
      <c r="BQ1379" s="2"/>
      <c r="BR1379" s="2"/>
      <c r="BS1379" s="2"/>
      <c r="BT1379" s="2"/>
      <c r="BU1379" s="2"/>
    </row>
    <row r="1380" spans="68:73" x14ac:dyDescent="0.25">
      <c r="BP1380" s="2"/>
      <c r="BQ1380" s="2"/>
      <c r="BR1380" s="2"/>
      <c r="BS1380" s="2"/>
      <c r="BT1380" s="2"/>
      <c r="BU1380" s="2"/>
    </row>
    <row r="1381" spans="68:73" x14ac:dyDescent="0.25">
      <c r="BP1381" s="2"/>
      <c r="BQ1381" s="2"/>
      <c r="BR1381" s="2"/>
      <c r="BS1381" s="2"/>
      <c r="BT1381" s="2"/>
      <c r="BU1381" s="2"/>
    </row>
    <row r="1382" spans="68:73" x14ac:dyDescent="0.25">
      <c r="BP1382" s="2"/>
      <c r="BQ1382" s="2"/>
      <c r="BR1382" s="2"/>
      <c r="BS1382" s="2"/>
      <c r="BT1382" s="2"/>
      <c r="BU1382" s="2"/>
    </row>
    <row r="1383" spans="68:73" x14ac:dyDescent="0.25">
      <c r="BP1383" s="2"/>
      <c r="BQ1383" s="2"/>
      <c r="BR1383" s="2"/>
      <c r="BS1383" s="2"/>
      <c r="BT1383" s="2"/>
      <c r="BU1383" s="2"/>
    </row>
    <row r="1384" spans="68:73" x14ac:dyDescent="0.25">
      <c r="BP1384" s="2"/>
      <c r="BQ1384" s="2"/>
      <c r="BR1384" s="2"/>
      <c r="BS1384" s="2"/>
      <c r="BT1384" s="2"/>
      <c r="BU1384" s="2"/>
    </row>
    <row r="1385" spans="68:73" x14ac:dyDescent="0.25">
      <c r="BP1385" s="2"/>
      <c r="BQ1385" s="2"/>
      <c r="BR1385" s="2"/>
      <c r="BS1385" s="2"/>
      <c r="BT1385" s="2"/>
      <c r="BU1385" s="2"/>
    </row>
    <row r="1386" spans="68:73" x14ac:dyDescent="0.25">
      <c r="BP1386" s="2"/>
      <c r="BQ1386" s="2"/>
      <c r="BR1386" s="2"/>
      <c r="BS1386" s="2"/>
      <c r="BT1386" s="2"/>
      <c r="BU1386" s="2"/>
    </row>
    <row r="1387" spans="68:73" x14ac:dyDescent="0.25">
      <c r="BP1387" s="2"/>
      <c r="BQ1387" s="2"/>
      <c r="BR1387" s="2"/>
      <c r="BS1387" s="2"/>
      <c r="BT1387" s="2"/>
      <c r="BU1387" s="2"/>
    </row>
    <row r="1388" spans="68:73" x14ac:dyDescent="0.25">
      <c r="BP1388" s="2"/>
      <c r="BQ1388" s="2"/>
      <c r="BR1388" s="2"/>
      <c r="BS1388" s="2"/>
      <c r="BT1388" s="2"/>
      <c r="BU1388" s="2"/>
    </row>
    <row r="1389" spans="68:73" x14ac:dyDescent="0.25">
      <c r="BP1389" s="2"/>
      <c r="BQ1389" s="2"/>
      <c r="BR1389" s="2"/>
      <c r="BS1389" s="2"/>
      <c r="BT1389" s="2"/>
      <c r="BU1389" s="2"/>
    </row>
    <row r="1390" spans="68:73" x14ac:dyDescent="0.25">
      <c r="BP1390" s="2"/>
      <c r="BQ1390" s="2"/>
      <c r="BR1390" s="2"/>
      <c r="BS1390" s="2"/>
      <c r="BT1390" s="2"/>
      <c r="BU1390" s="2"/>
    </row>
    <row r="1391" spans="68:73" x14ac:dyDescent="0.25">
      <c r="BP1391" s="2"/>
      <c r="BQ1391" s="2"/>
      <c r="BR1391" s="2"/>
      <c r="BS1391" s="2"/>
      <c r="BT1391" s="2"/>
      <c r="BU1391" s="2"/>
    </row>
    <row r="1392" spans="68:73" x14ac:dyDescent="0.25">
      <c r="BP1392" s="2"/>
      <c r="BQ1392" s="2"/>
      <c r="BR1392" s="2"/>
      <c r="BS1392" s="2"/>
      <c r="BT1392" s="2"/>
      <c r="BU1392" s="2"/>
    </row>
    <row r="1393" spans="68:73" x14ac:dyDescent="0.25">
      <c r="BP1393" s="2"/>
      <c r="BQ1393" s="2"/>
      <c r="BR1393" s="2"/>
      <c r="BS1393" s="2"/>
      <c r="BT1393" s="2"/>
      <c r="BU1393" s="2"/>
    </row>
    <row r="1394" spans="68:73" x14ac:dyDescent="0.25">
      <c r="BP1394" s="2"/>
      <c r="BQ1394" s="2"/>
      <c r="BR1394" s="2"/>
      <c r="BS1394" s="2"/>
      <c r="BT1394" s="2"/>
      <c r="BU1394" s="2"/>
    </row>
    <row r="1395" spans="68:73" x14ac:dyDescent="0.25">
      <c r="BP1395" s="2"/>
      <c r="BQ1395" s="2"/>
      <c r="BR1395" s="2"/>
      <c r="BS1395" s="2"/>
      <c r="BT1395" s="2"/>
      <c r="BU1395" s="2"/>
    </row>
    <row r="1396" spans="68:73" x14ac:dyDescent="0.25">
      <c r="BP1396" s="2"/>
      <c r="BQ1396" s="2"/>
      <c r="BR1396" s="2"/>
      <c r="BS1396" s="2"/>
      <c r="BT1396" s="2"/>
      <c r="BU1396" s="2"/>
    </row>
    <row r="1397" spans="68:73" x14ac:dyDescent="0.25">
      <c r="BP1397" s="2"/>
      <c r="BQ1397" s="2"/>
      <c r="BR1397" s="2"/>
      <c r="BS1397" s="2"/>
      <c r="BT1397" s="2"/>
      <c r="BU1397" s="2"/>
    </row>
    <row r="1398" spans="68:73" x14ac:dyDescent="0.25">
      <c r="BP1398" s="2"/>
      <c r="BQ1398" s="2"/>
      <c r="BR1398" s="2"/>
      <c r="BS1398" s="2"/>
      <c r="BT1398" s="2"/>
      <c r="BU1398" s="2"/>
    </row>
    <row r="1399" spans="68:73" x14ac:dyDescent="0.25">
      <c r="BP1399" s="2"/>
      <c r="BQ1399" s="2"/>
      <c r="BR1399" s="2"/>
      <c r="BS1399" s="2"/>
      <c r="BT1399" s="2"/>
      <c r="BU1399" s="2"/>
    </row>
    <row r="1400" spans="68:73" x14ac:dyDescent="0.25">
      <c r="BP1400" s="2"/>
      <c r="BQ1400" s="2"/>
      <c r="BR1400" s="2"/>
      <c r="BS1400" s="2"/>
      <c r="BT1400" s="2"/>
      <c r="BU1400" s="2"/>
    </row>
    <row r="1401" spans="68:73" x14ac:dyDescent="0.25">
      <c r="BP1401" s="2"/>
      <c r="BQ1401" s="2"/>
      <c r="BR1401" s="2"/>
      <c r="BS1401" s="2"/>
      <c r="BT1401" s="2"/>
      <c r="BU1401" s="2"/>
    </row>
    <row r="1402" spans="68:73" x14ac:dyDescent="0.25">
      <c r="BP1402" s="2"/>
      <c r="BQ1402" s="2"/>
      <c r="BR1402" s="2"/>
      <c r="BS1402" s="2"/>
      <c r="BT1402" s="2"/>
      <c r="BU1402" s="2"/>
    </row>
    <row r="1403" spans="68:73" x14ac:dyDescent="0.25">
      <c r="BP1403" s="2"/>
      <c r="BQ1403" s="2"/>
      <c r="BR1403" s="2"/>
      <c r="BS1403" s="2"/>
      <c r="BT1403" s="2"/>
      <c r="BU1403" s="2"/>
    </row>
    <row r="1404" spans="68:73" x14ac:dyDescent="0.25">
      <c r="BP1404" s="2"/>
      <c r="BQ1404" s="2"/>
      <c r="BR1404" s="2"/>
      <c r="BS1404" s="2"/>
      <c r="BT1404" s="2"/>
      <c r="BU1404" s="2"/>
    </row>
    <row r="1405" spans="68:73" x14ac:dyDescent="0.25">
      <c r="BP1405" s="2"/>
      <c r="BQ1405" s="2"/>
      <c r="BR1405" s="2"/>
      <c r="BS1405" s="2"/>
      <c r="BT1405" s="2"/>
      <c r="BU1405" s="2"/>
    </row>
    <row r="1406" spans="68:73" x14ac:dyDescent="0.25">
      <c r="BP1406" s="2"/>
      <c r="BQ1406" s="2"/>
      <c r="BR1406" s="2"/>
      <c r="BS1406" s="2"/>
      <c r="BT1406" s="2"/>
      <c r="BU1406" s="2"/>
    </row>
    <row r="1407" spans="68:73" x14ac:dyDescent="0.25">
      <c r="BP1407" s="2"/>
      <c r="BQ1407" s="2"/>
      <c r="BR1407" s="2"/>
      <c r="BS1407" s="2"/>
      <c r="BT1407" s="2"/>
      <c r="BU1407" s="2"/>
    </row>
    <row r="1408" spans="68:73" x14ac:dyDescent="0.25">
      <c r="BP1408" s="2"/>
      <c r="BQ1408" s="2"/>
      <c r="BR1408" s="2"/>
      <c r="BS1408" s="2"/>
      <c r="BT1408" s="2"/>
      <c r="BU1408" s="2"/>
    </row>
    <row r="1409" spans="68:73" x14ac:dyDescent="0.25">
      <c r="BP1409" s="2"/>
      <c r="BQ1409" s="2"/>
      <c r="BR1409" s="2"/>
      <c r="BS1409" s="2"/>
      <c r="BT1409" s="2"/>
      <c r="BU1409" s="2"/>
    </row>
    <row r="1410" spans="68:73" x14ac:dyDescent="0.25">
      <c r="BP1410" s="2"/>
      <c r="BQ1410" s="2"/>
      <c r="BR1410" s="2"/>
      <c r="BS1410" s="2"/>
      <c r="BT1410" s="2"/>
      <c r="BU1410" s="2"/>
    </row>
    <row r="1411" spans="68:73" x14ac:dyDescent="0.25">
      <c r="BP1411" s="2"/>
      <c r="BQ1411" s="2"/>
      <c r="BR1411" s="2"/>
      <c r="BS1411" s="2"/>
      <c r="BT1411" s="2"/>
      <c r="BU1411" s="2"/>
    </row>
    <row r="1412" spans="68:73" x14ac:dyDescent="0.25">
      <c r="BP1412" s="2"/>
      <c r="BQ1412" s="2"/>
      <c r="BR1412" s="2"/>
      <c r="BS1412" s="2"/>
      <c r="BT1412" s="2"/>
      <c r="BU1412" s="2"/>
    </row>
    <row r="1413" spans="68:73" x14ac:dyDescent="0.25">
      <c r="BP1413" s="2"/>
      <c r="BQ1413" s="2"/>
      <c r="BR1413" s="2"/>
      <c r="BS1413" s="2"/>
      <c r="BT1413" s="2"/>
      <c r="BU1413" s="2"/>
    </row>
    <row r="1414" spans="68:73" x14ac:dyDescent="0.25">
      <c r="BP1414" s="2"/>
      <c r="BQ1414" s="2"/>
      <c r="BR1414" s="2"/>
      <c r="BS1414" s="2"/>
      <c r="BT1414" s="2"/>
      <c r="BU1414" s="2"/>
    </row>
    <row r="1415" spans="68:73" x14ac:dyDescent="0.25">
      <c r="BP1415" s="2"/>
      <c r="BQ1415" s="2"/>
      <c r="BR1415" s="2"/>
      <c r="BS1415" s="2"/>
      <c r="BT1415" s="2"/>
      <c r="BU1415" s="2"/>
    </row>
    <row r="1416" spans="68:73" x14ac:dyDescent="0.25">
      <c r="BP1416" s="2"/>
      <c r="BQ1416" s="2"/>
      <c r="BR1416" s="2"/>
      <c r="BS1416" s="2"/>
      <c r="BT1416" s="2"/>
      <c r="BU1416" s="2"/>
    </row>
    <row r="1417" spans="68:73" x14ac:dyDescent="0.25">
      <c r="BP1417" s="2"/>
      <c r="BQ1417" s="2"/>
      <c r="BR1417" s="2"/>
      <c r="BS1417" s="2"/>
      <c r="BT1417" s="2"/>
      <c r="BU1417" s="2"/>
    </row>
    <row r="1418" spans="68:73" x14ac:dyDescent="0.25">
      <c r="BP1418" s="2"/>
      <c r="BQ1418" s="2"/>
      <c r="BR1418" s="2"/>
      <c r="BS1418" s="2"/>
      <c r="BT1418" s="2"/>
      <c r="BU1418" s="2"/>
    </row>
    <row r="1419" spans="68:73" x14ac:dyDescent="0.25">
      <c r="BP1419" s="2"/>
      <c r="BQ1419" s="2"/>
      <c r="BR1419" s="2"/>
      <c r="BS1419" s="2"/>
      <c r="BT1419" s="2"/>
      <c r="BU1419" s="2"/>
    </row>
    <row r="1420" spans="68:73" x14ac:dyDescent="0.25">
      <c r="BP1420" s="2"/>
      <c r="BQ1420" s="2"/>
      <c r="BR1420" s="2"/>
      <c r="BS1420" s="2"/>
      <c r="BT1420" s="2"/>
      <c r="BU1420" s="2"/>
    </row>
    <row r="1421" spans="68:73" x14ac:dyDescent="0.25">
      <c r="BP1421" s="2"/>
      <c r="BQ1421" s="2"/>
      <c r="BR1421" s="2"/>
      <c r="BS1421" s="2"/>
      <c r="BT1421" s="2"/>
      <c r="BU1421" s="2"/>
    </row>
    <row r="1422" spans="68:73" x14ac:dyDescent="0.25">
      <c r="BP1422" s="2"/>
      <c r="BQ1422" s="2"/>
      <c r="BR1422" s="2"/>
      <c r="BS1422" s="2"/>
      <c r="BT1422" s="2"/>
      <c r="BU1422" s="2"/>
    </row>
    <row r="1423" spans="68:73" x14ac:dyDescent="0.25">
      <c r="BP1423" s="2"/>
      <c r="BQ1423" s="2"/>
      <c r="BR1423" s="2"/>
      <c r="BS1423" s="2"/>
      <c r="BT1423" s="2"/>
      <c r="BU1423" s="2"/>
    </row>
    <row r="1424" spans="68:73" x14ac:dyDescent="0.25">
      <c r="BP1424" s="2"/>
      <c r="BQ1424" s="2"/>
      <c r="BR1424" s="2"/>
      <c r="BS1424" s="2"/>
      <c r="BT1424" s="2"/>
      <c r="BU1424" s="2"/>
    </row>
    <row r="1425" spans="68:73" x14ac:dyDescent="0.25">
      <c r="BP1425" s="2"/>
      <c r="BQ1425" s="2"/>
      <c r="BR1425" s="2"/>
      <c r="BS1425" s="2"/>
      <c r="BT1425" s="2"/>
      <c r="BU1425" s="2"/>
    </row>
    <row r="1426" spans="68:73" x14ac:dyDescent="0.25">
      <c r="BP1426" s="2"/>
      <c r="BQ1426" s="2"/>
      <c r="BR1426" s="2"/>
      <c r="BS1426" s="2"/>
      <c r="BT1426" s="2"/>
      <c r="BU1426" s="2"/>
    </row>
    <row r="1427" spans="68:73" x14ac:dyDescent="0.25">
      <c r="BP1427" s="2"/>
      <c r="BQ1427" s="2"/>
      <c r="BR1427" s="2"/>
      <c r="BS1427" s="2"/>
      <c r="BT1427" s="2"/>
      <c r="BU1427" s="2"/>
    </row>
    <row r="1428" spans="68:73" x14ac:dyDescent="0.25">
      <c r="BP1428" s="2"/>
      <c r="BQ1428" s="2"/>
      <c r="BR1428" s="2"/>
      <c r="BS1428" s="2"/>
      <c r="BT1428" s="2"/>
      <c r="BU1428" s="2"/>
    </row>
    <row r="1429" spans="68:73" x14ac:dyDescent="0.25">
      <c r="BP1429" s="2"/>
      <c r="BQ1429" s="2"/>
      <c r="BR1429" s="2"/>
      <c r="BS1429" s="2"/>
      <c r="BT1429" s="2"/>
      <c r="BU1429" s="2"/>
    </row>
    <row r="1430" spans="68:73" x14ac:dyDescent="0.25">
      <c r="BP1430" s="2"/>
      <c r="BQ1430" s="2"/>
      <c r="BR1430" s="2"/>
      <c r="BS1430" s="2"/>
      <c r="BT1430" s="2"/>
      <c r="BU1430" s="2"/>
    </row>
    <row r="1431" spans="68:73" x14ac:dyDescent="0.25">
      <c r="BP1431" s="2"/>
      <c r="BQ1431" s="2"/>
      <c r="BR1431" s="2"/>
      <c r="BS1431" s="2"/>
      <c r="BT1431" s="2"/>
      <c r="BU1431" s="2"/>
    </row>
    <row r="1432" spans="68:73" x14ac:dyDescent="0.25">
      <c r="BP1432" s="2"/>
      <c r="BQ1432" s="2"/>
      <c r="BR1432" s="2"/>
      <c r="BS1432" s="2"/>
      <c r="BT1432" s="2"/>
      <c r="BU1432" s="2"/>
    </row>
    <row r="1433" spans="68:73" x14ac:dyDescent="0.25">
      <c r="BP1433" s="2"/>
      <c r="BQ1433" s="2"/>
      <c r="BR1433" s="2"/>
      <c r="BS1433" s="2"/>
      <c r="BT1433" s="2"/>
      <c r="BU1433" s="2"/>
    </row>
    <row r="1434" spans="68:73" x14ac:dyDescent="0.25">
      <c r="BP1434" s="2"/>
      <c r="BQ1434" s="2"/>
      <c r="BR1434" s="2"/>
      <c r="BS1434" s="2"/>
      <c r="BT1434" s="2"/>
      <c r="BU1434" s="2"/>
    </row>
    <row r="1435" spans="68:73" x14ac:dyDescent="0.25">
      <c r="BP1435" s="2"/>
      <c r="BQ1435" s="2"/>
      <c r="BR1435" s="2"/>
      <c r="BS1435" s="2"/>
      <c r="BT1435" s="2"/>
      <c r="BU1435" s="2"/>
    </row>
    <row r="1436" spans="68:73" x14ac:dyDescent="0.25">
      <c r="BP1436" s="2"/>
      <c r="BQ1436" s="2"/>
      <c r="BR1436" s="2"/>
      <c r="BS1436" s="2"/>
      <c r="BT1436" s="2"/>
      <c r="BU1436" s="2"/>
    </row>
    <row r="1437" spans="68:73" x14ac:dyDescent="0.25">
      <c r="BP1437" s="2"/>
      <c r="BQ1437" s="2"/>
      <c r="BR1437" s="2"/>
      <c r="BS1437" s="2"/>
      <c r="BT1437" s="2"/>
      <c r="BU1437" s="2"/>
    </row>
    <row r="1438" spans="68:73" x14ac:dyDescent="0.25">
      <c r="BP1438" s="2"/>
      <c r="BQ1438" s="2"/>
      <c r="BR1438" s="2"/>
      <c r="BS1438" s="2"/>
      <c r="BT1438" s="2"/>
      <c r="BU1438" s="2"/>
    </row>
    <row r="1439" spans="68:73" x14ac:dyDescent="0.25">
      <c r="BP1439" s="2"/>
      <c r="BQ1439" s="2"/>
      <c r="BR1439" s="2"/>
      <c r="BS1439" s="2"/>
      <c r="BT1439" s="2"/>
      <c r="BU1439" s="2"/>
    </row>
    <row r="1440" spans="68:73" x14ac:dyDescent="0.25">
      <c r="BP1440" s="2"/>
      <c r="BQ1440" s="2"/>
      <c r="BR1440" s="2"/>
      <c r="BS1440" s="2"/>
      <c r="BT1440" s="2"/>
      <c r="BU1440" s="2"/>
    </row>
    <row r="1441" spans="68:73" x14ac:dyDescent="0.25">
      <c r="BP1441" s="2"/>
      <c r="BQ1441" s="2"/>
      <c r="BR1441" s="2"/>
      <c r="BS1441" s="2"/>
      <c r="BT1441" s="2"/>
      <c r="BU1441" s="2"/>
    </row>
    <row r="1442" spans="68:73" x14ac:dyDescent="0.25">
      <c r="BP1442" s="2"/>
      <c r="BQ1442" s="2"/>
      <c r="BR1442" s="2"/>
      <c r="BS1442" s="2"/>
      <c r="BT1442" s="2"/>
      <c r="BU1442" s="2"/>
    </row>
    <row r="1443" spans="68:73" x14ac:dyDescent="0.25">
      <c r="BP1443" s="2"/>
      <c r="BQ1443" s="2"/>
      <c r="BR1443" s="2"/>
      <c r="BS1443" s="2"/>
      <c r="BT1443" s="2"/>
      <c r="BU1443" s="2"/>
    </row>
    <row r="1444" spans="68:73" x14ac:dyDescent="0.25">
      <c r="BP1444" s="2"/>
      <c r="BQ1444" s="2"/>
      <c r="BR1444" s="2"/>
      <c r="BS1444" s="2"/>
      <c r="BT1444" s="2"/>
      <c r="BU1444" s="2"/>
    </row>
    <row r="1445" spans="68:73" x14ac:dyDescent="0.25">
      <c r="BP1445" s="2"/>
      <c r="BQ1445" s="2"/>
      <c r="BR1445" s="2"/>
      <c r="BS1445" s="2"/>
      <c r="BT1445" s="2"/>
      <c r="BU1445" s="2"/>
    </row>
    <row r="1446" spans="68:73" x14ac:dyDescent="0.25">
      <c r="BP1446" s="2"/>
      <c r="BQ1446" s="2"/>
      <c r="BR1446" s="2"/>
      <c r="BS1446" s="2"/>
      <c r="BT1446" s="2"/>
      <c r="BU1446" s="2"/>
    </row>
    <row r="1447" spans="68:73" x14ac:dyDescent="0.25">
      <c r="BP1447" s="2"/>
      <c r="BQ1447" s="2"/>
      <c r="BR1447" s="2"/>
      <c r="BS1447" s="2"/>
      <c r="BT1447" s="2"/>
      <c r="BU1447" s="2"/>
    </row>
    <row r="1448" spans="68:73" x14ac:dyDescent="0.25">
      <c r="BP1448" s="2"/>
      <c r="BQ1448" s="2"/>
      <c r="BR1448" s="2"/>
      <c r="BS1448" s="2"/>
      <c r="BT1448" s="2"/>
      <c r="BU1448" s="2"/>
    </row>
    <row r="1449" spans="68:73" x14ac:dyDescent="0.25">
      <c r="BP1449" s="2"/>
      <c r="BQ1449" s="2"/>
      <c r="BR1449" s="2"/>
      <c r="BS1449" s="2"/>
      <c r="BT1449" s="2"/>
      <c r="BU1449" s="2"/>
    </row>
    <row r="1450" spans="68:73" x14ac:dyDescent="0.25">
      <c r="BP1450" s="2"/>
      <c r="BQ1450" s="2"/>
      <c r="BR1450" s="2"/>
      <c r="BS1450" s="2"/>
      <c r="BT1450" s="2"/>
      <c r="BU1450" s="2"/>
    </row>
    <row r="1451" spans="68:73" x14ac:dyDescent="0.25">
      <c r="BP1451" s="2"/>
      <c r="BQ1451" s="2"/>
      <c r="BR1451" s="2"/>
      <c r="BS1451" s="2"/>
      <c r="BT1451" s="2"/>
      <c r="BU1451" s="2"/>
    </row>
    <row r="1452" spans="68:73" x14ac:dyDescent="0.25">
      <c r="BP1452" s="2"/>
      <c r="BQ1452" s="2"/>
      <c r="BR1452" s="2"/>
      <c r="BS1452" s="2"/>
      <c r="BT1452" s="2"/>
      <c r="BU1452" s="2"/>
    </row>
    <row r="1453" spans="68:73" x14ac:dyDescent="0.25">
      <c r="BP1453" s="2"/>
      <c r="BQ1453" s="2"/>
      <c r="BR1453" s="2"/>
      <c r="BS1453" s="2"/>
      <c r="BT1453" s="2"/>
      <c r="BU1453" s="2"/>
    </row>
    <row r="1454" spans="68:73" x14ac:dyDescent="0.25">
      <c r="BP1454" s="2"/>
      <c r="BQ1454" s="2"/>
      <c r="BR1454" s="2"/>
      <c r="BS1454" s="2"/>
      <c r="BT1454" s="2"/>
      <c r="BU1454" s="2"/>
    </row>
    <row r="1455" spans="68:73" x14ac:dyDescent="0.25">
      <c r="BP1455" s="2"/>
      <c r="BQ1455" s="2"/>
      <c r="BR1455" s="2"/>
      <c r="BS1455" s="2"/>
      <c r="BT1455" s="2"/>
      <c r="BU1455" s="2"/>
    </row>
    <row r="1456" spans="68:73" x14ac:dyDescent="0.25">
      <c r="BP1456" s="2"/>
      <c r="BQ1456" s="2"/>
      <c r="BR1456" s="2"/>
      <c r="BS1456" s="2"/>
      <c r="BT1456" s="2"/>
      <c r="BU1456" s="2"/>
    </row>
    <row r="1457" spans="68:73" x14ac:dyDescent="0.25">
      <c r="BP1457" s="2"/>
      <c r="BQ1457" s="2"/>
      <c r="BR1457" s="2"/>
      <c r="BS1457" s="2"/>
      <c r="BT1457" s="2"/>
      <c r="BU1457" s="2"/>
    </row>
    <row r="1458" spans="68:73" x14ac:dyDescent="0.25">
      <c r="BP1458" s="2"/>
      <c r="BQ1458" s="2"/>
      <c r="BR1458" s="2"/>
      <c r="BS1458" s="2"/>
      <c r="BT1458" s="2"/>
      <c r="BU1458" s="2"/>
    </row>
    <row r="1459" spans="68:73" x14ac:dyDescent="0.25">
      <c r="BP1459" s="2"/>
      <c r="BQ1459" s="2"/>
      <c r="BR1459" s="2"/>
      <c r="BS1459" s="2"/>
      <c r="BT1459" s="2"/>
      <c r="BU1459" s="2"/>
    </row>
    <row r="1460" spans="68:73" x14ac:dyDescent="0.25">
      <c r="BP1460" s="2"/>
      <c r="BQ1460" s="2"/>
      <c r="BR1460" s="2"/>
      <c r="BS1460" s="2"/>
      <c r="BT1460" s="2"/>
      <c r="BU1460" s="2"/>
    </row>
    <row r="1461" spans="68:73" x14ac:dyDescent="0.25">
      <c r="BP1461" s="2"/>
      <c r="BQ1461" s="2"/>
      <c r="BR1461" s="2"/>
      <c r="BS1461" s="2"/>
      <c r="BT1461" s="2"/>
      <c r="BU1461" s="2"/>
    </row>
    <row r="1462" spans="68:73" x14ac:dyDescent="0.25">
      <c r="BP1462" s="2"/>
      <c r="BQ1462" s="2"/>
      <c r="BR1462" s="2"/>
      <c r="BS1462" s="2"/>
      <c r="BT1462" s="2"/>
      <c r="BU1462" s="2"/>
    </row>
    <row r="1463" spans="68:73" x14ac:dyDescent="0.25">
      <c r="BP1463" s="2"/>
      <c r="BQ1463" s="2"/>
      <c r="BR1463" s="2"/>
      <c r="BS1463" s="2"/>
      <c r="BT1463" s="2"/>
      <c r="BU1463" s="2"/>
    </row>
    <row r="1464" spans="68:73" x14ac:dyDescent="0.25">
      <c r="BP1464" s="2"/>
      <c r="BQ1464" s="2"/>
      <c r="BR1464" s="2"/>
      <c r="BS1464" s="2"/>
      <c r="BT1464" s="2"/>
      <c r="BU1464" s="2"/>
    </row>
    <row r="1465" spans="68:73" x14ac:dyDescent="0.25">
      <c r="BP1465" s="2"/>
      <c r="BQ1465" s="2"/>
      <c r="BR1465" s="2"/>
      <c r="BS1465" s="2"/>
      <c r="BT1465" s="2"/>
      <c r="BU1465" s="2"/>
    </row>
    <row r="1466" spans="68:73" x14ac:dyDescent="0.25">
      <c r="BP1466" s="2"/>
      <c r="BQ1466" s="2"/>
      <c r="BR1466" s="2"/>
      <c r="BS1466" s="2"/>
      <c r="BT1466" s="2"/>
      <c r="BU1466" s="2"/>
    </row>
    <row r="1467" spans="68:73" x14ac:dyDescent="0.25">
      <c r="BP1467" s="2"/>
      <c r="BQ1467" s="2"/>
      <c r="BR1467" s="2"/>
      <c r="BS1467" s="2"/>
      <c r="BT1467" s="2"/>
      <c r="BU1467" s="2"/>
    </row>
    <row r="1468" spans="68:73" x14ac:dyDescent="0.25">
      <c r="BP1468" s="2"/>
      <c r="BQ1468" s="2"/>
      <c r="BR1468" s="2"/>
      <c r="BS1468" s="2"/>
      <c r="BT1468" s="2"/>
      <c r="BU1468" s="2"/>
    </row>
    <row r="1469" spans="68:73" x14ac:dyDescent="0.25">
      <c r="BP1469" s="2"/>
      <c r="BQ1469" s="2"/>
      <c r="BR1469" s="2"/>
      <c r="BS1469" s="2"/>
      <c r="BT1469" s="2"/>
      <c r="BU1469" s="2"/>
    </row>
    <row r="1470" spans="68:73" x14ac:dyDescent="0.25">
      <c r="BP1470" s="2"/>
      <c r="BQ1470" s="2"/>
      <c r="BR1470" s="2"/>
      <c r="BS1470" s="2"/>
      <c r="BT1470" s="2"/>
      <c r="BU1470" s="2"/>
    </row>
    <row r="1471" spans="68:73" x14ac:dyDescent="0.25">
      <c r="BP1471" s="2"/>
      <c r="BQ1471" s="2"/>
      <c r="BR1471" s="2"/>
      <c r="BS1471" s="2"/>
      <c r="BT1471" s="2"/>
      <c r="BU1471" s="2"/>
    </row>
    <row r="1472" spans="68:73" x14ac:dyDescent="0.25">
      <c r="BP1472" s="2"/>
      <c r="BQ1472" s="2"/>
      <c r="BR1472" s="2"/>
      <c r="BS1472" s="2"/>
      <c r="BT1472" s="2"/>
      <c r="BU1472" s="2"/>
    </row>
    <row r="1473" spans="68:73" x14ac:dyDescent="0.25">
      <c r="BP1473" s="2"/>
      <c r="BQ1473" s="2"/>
      <c r="BR1473" s="2"/>
      <c r="BS1473" s="2"/>
      <c r="BT1473" s="2"/>
      <c r="BU1473" s="2"/>
    </row>
    <row r="1474" spans="68:73" x14ac:dyDescent="0.25">
      <c r="BP1474" s="2"/>
      <c r="BQ1474" s="2"/>
      <c r="BR1474" s="2"/>
      <c r="BS1474" s="2"/>
      <c r="BT1474" s="2"/>
      <c r="BU1474" s="2"/>
    </row>
    <row r="1475" spans="68:73" x14ac:dyDescent="0.25">
      <c r="BP1475" s="2"/>
      <c r="BQ1475" s="2"/>
      <c r="BR1475" s="2"/>
      <c r="BS1475" s="2"/>
      <c r="BT1475" s="2"/>
      <c r="BU1475" s="2"/>
    </row>
    <row r="1476" spans="68:73" x14ac:dyDescent="0.25">
      <c r="BP1476" s="2"/>
      <c r="BQ1476" s="2"/>
      <c r="BR1476" s="2"/>
      <c r="BS1476" s="2"/>
      <c r="BT1476" s="2"/>
      <c r="BU1476" s="2"/>
    </row>
    <row r="1477" spans="68:73" x14ac:dyDescent="0.25">
      <c r="BP1477" s="2"/>
      <c r="BQ1477" s="2"/>
      <c r="BR1477" s="2"/>
      <c r="BS1477" s="2"/>
      <c r="BT1477" s="2"/>
      <c r="BU1477" s="2"/>
    </row>
    <row r="1478" spans="68:73" x14ac:dyDescent="0.25">
      <c r="BP1478" s="2"/>
      <c r="BQ1478" s="2"/>
      <c r="BR1478" s="2"/>
      <c r="BS1478" s="2"/>
      <c r="BT1478" s="2"/>
      <c r="BU1478" s="2"/>
    </row>
    <row r="1479" spans="68:73" x14ac:dyDescent="0.25">
      <c r="BP1479" s="2"/>
      <c r="BQ1479" s="2"/>
      <c r="BR1479" s="2"/>
      <c r="BS1479" s="2"/>
      <c r="BT1479" s="2"/>
      <c r="BU1479" s="2"/>
    </row>
    <row r="1480" spans="68:73" x14ac:dyDescent="0.25">
      <c r="BP1480" s="2"/>
      <c r="BQ1480" s="2"/>
      <c r="BR1480" s="2"/>
      <c r="BS1480" s="2"/>
      <c r="BT1480" s="2"/>
      <c r="BU1480" s="2"/>
    </row>
    <row r="1481" spans="68:73" x14ac:dyDescent="0.25">
      <c r="BP1481" s="2"/>
      <c r="BQ1481" s="2"/>
      <c r="BR1481" s="2"/>
      <c r="BS1481" s="2"/>
      <c r="BT1481" s="2"/>
      <c r="BU1481" s="2"/>
    </row>
    <row r="1482" spans="68:73" x14ac:dyDescent="0.25">
      <c r="BP1482" s="2"/>
      <c r="BQ1482" s="2"/>
      <c r="BR1482" s="2"/>
      <c r="BS1482" s="2"/>
      <c r="BT1482" s="2"/>
      <c r="BU1482" s="2"/>
    </row>
    <row r="1483" spans="68:73" x14ac:dyDescent="0.25">
      <c r="BP1483" s="2"/>
      <c r="BQ1483" s="2"/>
      <c r="BR1483" s="2"/>
      <c r="BS1483" s="2"/>
      <c r="BT1483" s="2"/>
      <c r="BU1483" s="2"/>
    </row>
    <row r="1484" spans="68:73" x14ac:dyDescent="0.25">
      <c r="BP1484" s="2"/>
      <c r="BQ1484" s="2"/>
      <c r="BR1484" s="2"/>
      <c r="BS1484" s="2"/>
      <c r="BT1484" s="2"/>
      <c r="BU1484" s="2"/>
    </row>
    <row r="1485" spans="68:73" x14ac:dyDescent="0.25">
      <c r="BP1485" s="2"/>
      <c r="BQ1485" s="2"/>
      <c r="BR1485" s="2"/>
      <c r="BS1485" s="2"/>
      <c r="BT1485" s="2"/>
      <c r="BU1485" s="2"/>
    </row>
    <row r="1486" spans="68:73" x14ac:dyDescent="0.25">
      <c r="BP1486" s="2"/>
      <c r="BQ1486" s="2"/>
      <c r="BR1486" s="2"/>
      <c r="BS1486" s="2"/>
      <c r="BT1486" s="2"/>
      <c r="BU1486" s="2"/>
    </row>
    <row r="1487" spans="68:73" x14ac:dyDescent="0.25">
      <c r="BP1487" s="2"/>
      <c r="BQ1487" s="2"/>
      <c r="BR1487" s="2"/>
      <c r="BS1487" s="2"/>
      <c r="BT1487" s="2"/>
      <c r="BU1487" s="2"/>
    </row>
    <row r="1488" spans="68:73" x14ac:dyDescent="0.25">
      <c r="BP1488" s="2"/>
      <c r="BQ1488" s="2"/>
      <c r="BR1488" s="2"/>
      <c r="BS1488" s="2"/>
      <c r="BT1488" s="2"/>
      <c r="BU1488" s="2"/>
    </row>
    <row r="1489" spans="68:73" x14ac:dyDescent="0.25">
      <c r="BP1489" s="2"/>
      <c r="BQ1489" s="2"/>
      <c r="BR1489" s="2"/>
      <c r="BS1489" s="2"/>
      <c r="BT1489" s="2"/>
      <c r="BU1489" s="2"/>
    </row>
    <row r="1490" spans="68:73" x14ac:dyDescent="0.25">
      <c r="BP1490" s="2"/>
      <c r="BQ1490" s="2"/>
      <c r="BR1490" s="2"/>
      <c r="BS1490" s="2"/>
      <c r="BT1490" s="2"/>
      <c r="BU1490" s="2"/>
    </row>
    <row r="1491" spans="68:73" x14ac:dyDescent="0.25">
      <c r="BP1491" s="2"/>
      <c r="BQ1491" s="2"/>
      <c r="BR1491" s="2"/>
      <c r="BS1491" s="2"/>
      <c r="BT1491" s="2"/>
      <c r="BU1491" s="2"/>
    </row>
    <row r="1492" spans="68:73" x14ac:dyDescent="0.25">
      <c r="BP1492" s="2"/>
      <c r="BQ1492" s="2"/>
      <c r="BR1492" s="2"/>
      <c r="BS1492" s="2"/>
      <c r="BT1492" s="2"/>
      <c r="BU1492" s="2"/>
    </row>
    <row r="1493" spans="68:73" x14ac:dyDescent="0.25">
      <c r="BP1493" s="2"/>
      <c r="BQ1493" s="2"/>
      <c r="BR1493" s="2"/>
      <c r="BS1493" s="2"/>
      <c r="BT1493" s="2"/>
      <c r="BU1493" s="2"/>
    </row>
    <row r="1494" spans="68:73" x14ac:dyDescent="0.25">
      <c r="BP1494" s="2"/>
      <c r="BQ1494" s="2"/>
      <c r="BR1494" s="2"/>
      <c r="BS1494" s="2"/>
      <c r="BT1494" s="2"/>
      <c r="BU1494" s="2"/>
    </row>
    <row r="1495" spans="68:73" x14ac:dyDescent="0.25">
      <c r="BP1495" s="2"/>
      <c r="BQ1495" s="2"/>
      <c r="BR1495" s="2"/>
      <c r="BS1495" s="2"/>
      <c r="BT1495" s="2"/>
      <c r="BU1495" s="2"/>
    </row>
    <row r="1496" spans="68:73" x14ac:dyDescent="0.25">
      <c r="BP1496" s="2"/>
      <c r="BQ1496" s="2"/>
      <c r="BR1496" s="2"/>
      <c r="BS1496" s="2"/>
      <c r="BT1496" s="2"/>
      <c r="BU1496" s="2"/>
    </row>
    <row r="1497" spans="68:73" x14ac:dyDescent="0.25">
      <c r="BP1497" s="2"/>
      <c r="BQ1497" s="2"/>
      <c r="BR1497" s="2"/>
      <c r="BS1497" s="2"/>
      <c r="BT1497" s="2"/>
      <c r="BU1497" s="2"/>
    </row>
    <row r="1498" spans="68:73" x14ac:dyDescent="0.25">
      <c r="BP1498" s="2"/>
      <c r="BQ1498" s="2"/>
      <c r="BR1498" s="2"/>
      <c r="BS1498" s="2"/>
      <c r="BT1498" s="2"/>
      <c r="BU1498" s="2"/>
    </row>
    <row r="1499" spans="68:73" x14ac:dyDescent="0.25">
      <c r="BP1499" s="2"/>
      <c r="BQ1499" s="2"/>
      <c r="BR1499" s="2"/>
      <c r="BS1499" s="2"/>
      <c r="BT1499" s="2"/>
      <c r="BU1499" s="2"/>
    </row>
    <row r="1500" spans="68:73" x14ac:dyDescent="0.25">
      <c r="BP1500" s="2"/>
      <c r="BQ1500" s="2"/>
      <c r="BR1500" s="2"/>
      <c r="BS1500" s="2"/>
      <c r="BT1500" s="2"/>
      <c r="BU1500" s="2"/>
    </row>
    <row r="1501" spans="68:73" x14ac:dyDescent="0.25">
      <c r="BP1501" s="2"/>
      <c r="BQ1501" s="2"/>
      <c r="BR1501" s="2"/>
      <c r="BS1501" s="2"/>
      <c r="BT1501" s="2"/>
      <c r="BU1501" s="2"/>
    </row>
    <row r="1502" spans="68:73" x14ac:dyDescent="0.25">
      <c r="BP1502" s="2"/>
      <c r="BQ1502" s="2"/>
      <c r="BR1502" s="2"/>
      <c r="BS1502" s="2"/>
      <c r="BT1502" s="2"/>
      <c r="BU1502" s="2"/>
    </row>
    <row r="1503" spans="68:73" x14ac:dyDescent="0.25">
      <c r="BP1503" s="2"/>
      <c r="BQ1503" s="2"/>
      <c r="BR1503" s="2"/>
      <c r="BS1503" s="2"/>
      <c r="BT1503" s="2"/>
      <c r="BU1503" s="2"/>
    </row>
    <row r="1504" spans="68:73" x14ac:dyDescent="0.25">
      <c r="BP1504" s="2"/>
      <c r="BQ1504" s="2"/>
      <c r="BR1504" s="2"/>
      <c r="BS1504" s="2"/>
      <c r="BT1504" s="2"/>
      <c r="BU1504" s="2"/>
    </row>
    <row r="1505" spans="68:73" x14ac:dyDescent="0.25">
      <c r="BP1505" s="2"/>
      <c r="BQ1505" s="2"/>
      <c r="BR1505" s="2"/>
      <c r="BS1505" s="2"/>
      <c r="BT1505" s="2"/>
      <c r="BU1505" s="2"/>
    </row>
    <row r="1506" spans="68:73" x14ac:dyDescent="0.25">
      <c r="BP1506" s="2"/>
      <c r="BQ1506" s="2"/>
      <c r="BR1506" s="2"/>
      <c r="BS1506" s="2"/>
      <c r="BT1506" s="2"/>
      <c r="BU1506" s="2"/>
    </row>
    <row r="1507" spans="68:73" x14ac:dyDescent="0.25">
      <c r="BP1507" s="2"/>
      <c r="BQ1507" s="2"/>
      <c r="BR1507" s="2"/>
      <c r="BS1507" s="2"/>
      <c r="BT1507" s="2"/>
      <c r="BU1507" s="2"/>
    </row>
    <row r="1508" spans="68:73" x14ac:dyDescent="0.25">
      <c r="BP1508" s="2"/>
      <c r="BQ1508" s="2"/>
      <c r="BR1508" s="2"/>
      <c r="BS1508" s="2"/>
      <c r="BT1508" s="2"/>
      <c r="BU1508" s="2"/>
    </row>
    <row r="1509" spans="68:73" x14ac:dyDescent="0.25">
      <c r="BP1509" s="2"/>
      <c r="BQ1509" s="2"/>
      <c r="BR1509" s="2"/>
      <c r="BS1509" s="2"/>
      <c r="BT1509" s="2"/>
      <c r="BU1509" s="2"/>
    </row>
    <row r="1510" spans="68:73" x14ac:dyDescent="0.25">
      <c r="BP1510" s="2"/>
      <c r="BQ1510" s="2"/>
      <c r="BR1510" s="2"/>
      <c r="BS1510" s="2"/>
      <c r="BT1510" s="2"/>
      <c r="BU1510" s="2"/>
    </row>
    <row r="1511" spans="68:73" x14ac:dyDescent="0.25">
      <c r="BP1511" s="2"/>
      <c r="BQ1511" s="2"/>
      <c r="BR1511" s="2"/>
      <c r="BS1511" s="2"/>
      <c r="BT1511" s="2"/>
      <c r="BU1511" s="2"/>
    </row>
    <row r="1512" spans="68:73" x14ac:dyDescent="0.25">
      <c r="BP1512" s="2"/>
      <c r="BQ1512" s="2"/>
      <c r="BR1512" s="2"/>
      <c r="BS1512" s="2"/>
      <c r="BT1512" s="2"/>
      <c r="BU1512" s="2"/>
    </row>
    <row r="1513" spans="68:73" x14ac:dyDescent="0.25">
      <c r="BP1513" s="2"/>
      <c r="BQ1513" s="2"/>
      <c r="BR1513" s="2"/>
      <c r="BS1513" s="2"/>
      <c r="BT1513" s="2"/>
      <c r="BU1513" s="2"/>
    </row>
    <row r="1514" spans="68:73" x14ac:dyDescent="0.25">
      <c r="BP1514" s="2"/>
      <c r="BQ1514" s="2"/>
      <c r="BR1514" s="2"/>
      <c r="BS1514" s="2"/>
      <c r="BT1514" s="2"/>
      <c r="BU1514" s="2"/>
    </row>
    <row r="1515" spans="68:73" x14ac:dyDescent="0.25">
      <c r="BP1515" s="2"/>
      <c r="BQ1515" s="2"/>
      <c r="BR1515" s="2"/>
      <c r="BS1515" s="2"/>
      <c r="BT1515" s="2"/>
      <c r="BU1515" s="2"/>
    </row>
    <row r="1516" spans="68:73" x14ac:dyDescent="0.25">
      <c r="BP1516" s="2"/>
      <c r="BQ1516" s="2"/>
      <c r="BR1516" s="2"/>
      <c r="BS1516" s="2"/>
      <c r="BT1516" s="2"/>
      <c r="BU1516" s="2"/>
    </row>
    <row r="1517" spans="68:73" x14ac:dyDescent="0.25">
      <c r="BP1517" s="2"/>
      <c r="BQ1517" s="2"/>
      <c r="BR1517" s="2"/>
      <c r="BS1517" s="2"/>
      <c r="BT1517" s="2"/>
      <c r="BU1517" s="2"/>
    </row>
    <row r="1518" spans="68:73" x14ac:dyDescent="0.25">
      <c r="BP1518" s="2"/>
      <c r="BQ1518" s="2"/>
      <c r="BR1518" s="2"/>
      <c r="BS1518" s="2"/>
      <c r="BT1518" s="2"/>
      <c r="BU1518" s="2"/>
    </row>
    <row r="1519" spans="68:73" x14ac:dyDescent="0.25">
      <c r="BP1519" s="2"/>
      <c r="BQ1519" s="2"/>
      <c r="BR1519" s="2"/>
      <c r="BS1519" s="2"/>
      <c r="BT1519" s="2"/>
      <c r="BU1519" s="2"/>
    </row>
    <row r="1520" spans="68:73" x14ac:dyDescent="0.25">
      <c r="BP1520" s="2"/>
      <c r="BQ1520" s="2"/>
      <c r="BR1520" s="2"/>
      <c r="BS1520" s="2"/>
      <c r="BT1520" s="2"/>
      <c r="BU1520" s="2"/>
    </row>
    <row r="1521" spans="68:73" x14ac:dyDescent="0.25">
      <c r="BP1521" s="2"/>
      <c r="BQ1521" s="2"/>
      <c r="BR1521" s="2"/>
      <c r="BS1521" s="2"/>
      <c r="BT1521" s="2"/>
      <c r="BU1521" s="2"/>
    </row>
    <row r="1522" spans="68:73" x14ac:dyDescent="0.25">
      <c r="BP1522" s="2"/>
      <c r="BQ1522" s="2"/>
      <c r="BR1522" s="2"/>
      <c r="BS1522" s="2"/>
      <c r="BT1522" s="2"/>
      <c r="BU1522" s="2"/>
    </row>
    <row r="1523" spans="68:73" x14ac:dyDescent="0.25">
      <c r="BP1523" s="2"/>
      <c r="BQ1523" s="2"/>
      <c r="BR1523" s="2"/>
      <c r="BS1523" s="2"/>
      <c r="BT1523" s="2"/>
      <c r="BU1523" s="2"/>
    </row>
    <row r="1524" spans="68:73" x14ac:dyDescent="0.25">
      <c r="BP1524" s="2"/>
      <c r="BQ1524" s="2"/>
      <c r="BR1524" s="2"/>
      <c r="BS1524" s="2"/>
      <c r="BT1524" s="2"/>
      <c r="BU1524" s="2"/>
    </row>
    <row r="1525" spans="68:73" x14ac:dyDescent="0.25">
      <c r="BP1525" s="2"/>
      <c r="BQ1525" s="2"/>
      <c r="BR1525" s="2"/>
      <c r="BS1525" s="2"/>
      <c r="BT1525" s="2"/>
      <c r="BU1525" s="2"/>
    </row>
    <row r="1526" spans="68:73" x14ac:dyDescent="0.25">
      <c r="BP1526" s="2"/>
      <c r="BQ1526" s="2"/>
      <c r="BR1526" s="2"/>
      <c r="BS1526" s="2"/>
      <c r="BT1526" s="2"/>
      <c r="BU1526" s="2"/>
    </row>
    <row r="1527" spans="68:73" x14ac:dyDescent="0.25">
      <c r="BP1527" s="2"/>
      <c r="BQ1527" s="2"/>
      <c r="BR1527" s="2"/>
      <c r="BS1527" s="2"/>
      <c r="BT1527" s="2"/>
      <c r="BU1527" s="2"/>
    </row>
    <row r="1528" spans="68:73" x14ac:dyDescent="0.25">
      <c r="BP1528" s="2"/>
      <c r="BQ1528" s="2"/>
      <c r="BR1528" s="2"/>
      <c r="BS1528" s="2"/>
      <c r="BT1528" s="2"/>
      <c r="BU1528" s="2"/>
    </row>
    <row r="1529" spans="68:73" x14ac:dyDescent="0.25">
      <c r="BP1529" s="2"/>
      <c r="BQ1529" s="2"/>
      <c r="BR1529" s="2"/>
      <c r="BS1529" s="2"/>
      <c r="BT1529" s="2"/>
      <c r="BU1529" s="2"/>
    </row>
    <row r="1530" spans="68:73" x14ac:dyDescent="0.25">
      <c r="BP1530" s="2"/>
      <c r="BQ1530" s="2"/>
      <c r="BR1530" s="2"/>
      <c r="BS1530" s="2"/>
      <c r="BT1530" s="2"/>
      <c r="BU1530" s="2"/>
    </row>
    <row r="1531" spans="68:73" x14ac:dyDescent="0.25">
      <c r="BP1531" s="2"/>
      <c r="BQ1531" s="2"/>
      <c r="BR1531" s="2"/>
      <c r="BS1531" s="2"/>
      <c r="BT1531" s="2"/>
      <c r="BU1531" s="2"/>
    </row>
    <row r="1532" spans="68:73" x14ac:dyDescent="0.25">
      <c r="BP1532" s="2"/>
      <c r="BQ1532" s="2"/>
      <c r="BR1532" s="2"/>
      <c r="BS1532" s="2"/>
      <c r="BT1532" s="2"/>
      <c r="BU1532" s="2"/>
    </row>
    <row r="1533" spans="68:73" x14ac:dyDescent="0.25">
      <c r="BP1533" s="2"/>
      <c r="BQ1533" s="2"/>
      <c r="BR1533" s="2"/>
      <c r="BS1533" s="2"/>
      <c r="BT1533" s="2"/>
      <c r="BU1533" s="2"/>
    </row>
    <row r="1534" spans="68:73" x14ac:dyDescent="0.25">
      <c r="BP1534" s="2"/>
      <c r="BQ1534" s="2"/>
      <c r="BR1534" s="2"/>
      <c r="BS1534" s="2"/>
      <c r="BT1534" s="2"/>
      <c r="BU1534" s="2"/>
    </row>
    <row r="1535" spans="68:73" x14ac:dyDescent="0.25">
      <c r="BP1535" s="2"/>
      <c r="BQ1535" s="2"/>
      <c r="BR1535" s="2"/>
      <c r="BS1535" s="2"/>
      <c r="BT1535" s="2"/>
      <c r="BU1535" s="2"/>
    </row>
    <row r="1536" spans="68:73" x14ac:dyDescent="0.25">
      <c r="BP1536" s="2"/>
      <c r="BQ1536" s="2"/>
      <c r="BR1536" s="2"/>
      <c r="BS1536" s="2"/>
      <c r="BT1536" s="2"/>
      <c r="BU1536" s="2"/>
    </row>
    <row r="1537" spans="68:73" x14ac:dyDescent="0.25">
      <c r="BP1537" s="2"/>
      <c r="BQ1537" s="2"/>
      <c r="BR1537" s="2"/>
      <c r="BS1537" s="2"/>
      <c r="BT1537" s="2"/>
      <c r="BU1537" s="2"/>
    </row>
    <row r="1538" spans="68:73" x14ac:dyDescent="0.25">
      <c r="BP1538" s="2"/>
      <c r="BQ1538" s="2"/>
      <c r="BR1538" s="2"/>
      <c r="BS1538" s="2"/>
      <c r="BT1538" s="2"/>
      <c r="BU1538" s="2"/>
    </row>
    <row r="1539" spans="68:73" x14ac:dyDescent="0.25">
      <c r="BP1539" s="2"/>
      <c r="BQ1539" s="2"/>
      <c r="BR1539" s="2"/>
      <c r="BS1539" s="2"/>
      <c r="BT1539" s="2"/>
      <c r="BU1539" s="2"/>
    </row>
    <row r="1540" spans="68:73" x14ac:dyDescent="0.25">
      <c r="BP1540" s="2"/>
      <c r="BQ1540" s="2"/>
      <c r="BR1540" s="2"/>
      <c r="BS1540" s="2"/>
      <c r="BT1540" s="2"/>
      <c r="BU1540" s="2"/>
    </row>
    <row r="1541" spans="68:73" x14ac:dyDescent="0.25">
      <c r="BP1541" s="2"/>
      <c r="BQ1541" s="2"/>
      <c r="BR1541" s="2"/>
      <c r="BS1541" s="2"/>
      <c r="BT1541" s="2"/>
      <c r="BU1541" s="2"/>
    </row>
    <row r="1542" spans="68:73" x14ac:dyDescent="0.25">
      <c r="BP1542" s="2"/>
      <c r="BQ1542" s="2"/>
      <c r="BR1542" s="2"/>
      <c r="BS1542" s="2"/>
      <c r="BT1542" s="2"/>
      <c r="BU1542" s="2"/>
    </row>
    <row r="1543" spans="68:73" x14ac:dyDescent="0.25">
      <c r="BP1543" s="2"/>
      <c r="BQ1543" s="2"/>
      <c r="BR1543" s="2"/>
      <c r="BS1543" s="2"/>
      <c r="BT1543" s="2"/>
      <c r="BU1543" s="2"/>
    </row>
    <row r="1544" spans="68:73" x14ac:dyDescent="0.25">
      <c r="BP1544" s="2"/>
      <c r="BQ1544" s="2"/>
      <c r="BR1544" s="2"/>
      <c r="BS1544" s="2"/>
      <c r="BT1544" s="2"/>
      <c r="BU1544" s="2"/>
    </row>
    <row r="1545" spans="68:73" x14ac:dyDescent="0.25">
      <c r="BP1545" s="2"/>
      <c r="BQ1545" s="2"/>
      <c r="BR1545" s="2"/>
      <c r="BS1545" s="2"/>
      <c r="BT1545" s="2"/>
      <c r="BU1545" s="2"/>
    </row>
    <row r="1546" spans="68:73" x14ac:dyDescent="0.25">
      <c r="BP1546" s="2"/>
      <c r="BQ1546" s="2"/>
      <c r="BR1546" s="2"/>
      <c r="BS1546" s="2"/>
      <c r="BT1546" s="2"/>
      <c r="BU1546" s="2"/>
    </row>
    <row r="1547" spans="68:73" x14ac:dyDescent="0.25">
      <c r="BP1547" s="2"/>
      <c r="BQ1547" s="2"/>
      <c r="BR1547" s="2"/>
      <c r="BS1547" s="2"/>
      <c r="BT1547" s="2"/>
      <c r="BU1547" s="2"/>
    </row>
    <row r="1548" spans="68:73" x14ac:dyDescent="0.25">
      <c r="BP1548" s="2"/>
      <c r="BQ1548" s="2"/>
      <c r="BR1548" s="2"/>
      <c r="BS1548" s="2"/>
      <c r="BT1548" s="2"/>
      <c r="BU1548" s="2"/>
    </row>
    <row r="1549" spans="68:73" x14ac:dyDescent="0.25">
      <c r="BP1549" s="2"/>
      <c r="BQ1549" s="2"/>
      <c r="BR1549" s="2"/>
      <c r="BS1549" s="2"/>
      <c r="BT1549" s="2"/>
      <c r="BU1549" s="2"/>
    </row>
    <row r="1550" spans="68:73" x14ac:dyDescent="0.25">
      <c r="BP1550" s="2"/>
      <c r="BQ1550" s="2"/>
      <c r="BR1550" s="2"/>
      <c r="BS1550" s="2"/>
      <c r="BT1550" s="2"/>
      <c r="BU1550" s="2"/>
    </row>
    <row r="1551" spans="68:73" x14ac:dyDescent="0.25">
      <c r="BP1551" s="2"/>
      <c r="BQ1551" s="2"/>
      <c r="BR1551" s="2"/>
      <c r="BS1551" s="2"/>
      <c r="BT1551" s="2"/>
      <c r="BU1551" s="2"/>
    </row>
    <row r="1552" spans="68:73" x14ac:dyDescent="0.25">
      <c r="BP1552" s="2"/>
      <c r="BQ1552" s="2"/>
      <c r="BR1552" s="2"/>
      <c r="BS1552" s="2"/>
      <c r="BT1552" s="2"/>
      <c r="BU1552" s="2"/>
    </row>
    <row r="1553" spans="68:73" x14ac:dyDescent="0.25">
      <c r="BP1553" s="2"/>
      <c r="BQ1553" s="2"/>
      <c r="BR1553" s="2"/>
      <c r="BS1553" s="2"/>
      <c r="BT1553" s="2"/>
      <c r="BU1553" s="2"/>
    </row>
    <row r="1554" spans="68:73" x14ac:dyDescent="0.25">
      <c r="BP1554" s="2"/>
      <c r="BQ1554" s="2"/>
      <c r="BR1554" s="2"/>
      <c r="BS1554" s="2"/>
      <c r="BT1554" s="2"/>
      <c r="BU1554" s="2"/>
    </row>
    <row r="1555" spans="68:73" x14ac:dyDescent="0.25">
      <c r="BP1555" s="2"/>
      <c r="BQ1555" s="2"/>
      <c r="BR1555" s="2"/>
      <c r="BS1555" s="2"/>
      <c r="BT1555" s="2"/>
      <c r="BU1555" s="2"/>
    </row>
    <row r="1556" spans="68:73" x14ac:dyDescent="0.25">
      <c r="BP1556" s="2"/>
      <c r="BQ1556" s="2"/>
      <c r="BR1556" s="2"/>
      <c r="BS1556" s="2"/>
      <c r="BT1556" s="2"/>
      <c r="BU1556" s="2"/>
    </row>
    <row r="1557" spans="68:73" x14ac:dyDescent="0.25">
      <c r="BP1557" s="2"/>
      <c r="BQ1557" s="2"/>
      <c r="BR1557" s="2"/>
      <c r="BS1557" s="2"/>
      <c r="BT1557" s="2"/>
      <c r="BU1557" s="2"/>
    </row>
    <row r="1558" spans="68:73" x14ac:dyDescent="0.25">
      <c r="BP1558" s="2"/>
      <c r="BQ1558" s="2"/>
      <c r="BR1558" s="2"/>
      <c r="BS1558" s="2"/>
      <c r="BT1558" s="2"/>
      <c r="BU1558" s="2"/>
    </row>
    <row r="1559" spans="68:73" x14ac:dyDescent="0.25">
      <c r="BP1559" s="2"/>
      <c r="BQ1559" s="2"/>
      <c r="BR1559" s="2"/>
      <c r="BS1559" s="2"/>
      <c r="BT1559" s="2"/>
      <c r="BU1559" s="2"/>
    </row>
    <row r="1560" spans="68:73" x14ac:dyDescent="0.25">
      <c r="BP1560" s="2"/>
      <c r="BQ1560" s="2"/>
      <c r="BR1560" s="2"/>
      <c r="BS1560" s="2"/>
      <c r="BT1560" s="2"/>
      <c r="BU1560" s="2"/>
    </row>
    <row r="1561" spans="68:73" x14ac:dyDescent="0.25">
      <c r="BP1561" s="2"/>
      <c r="BQ1561" s="2"/>
      <c r="BR1561" s="2"/>
      <c r="BS1561" s="2"/>
      <c r="BT1561" s="2"/>
      <c r="BU1561" s="2"/>
    </row>
    <row r="1562" spans="68:73" x14ac:dyDescent="0.25">
      <c r="BP1562" s="2"/>
      <c r="BQ1562" s="2"/>
      <c r="BR1562" s="2"/>
      <c r="BS1562" s="2"/>
      <c r="BT1562" s="2"/>
      <c r="BU1562" s="2"/>
    </row>
    <row r="1563" spans="68:73" x14ac:dyDescent="0.25">
      <c r="BP1563" s="2"/>
      <c r="BQ1563" s="2"/>
      <c r="BR1563" s="2"/>
      <c r="BS1563" s="2"/>
      <c r="BT1563" s="2"/>
      <c r="BU1563" s="2"/>
    </row>
    <row r="1564" spans="68:73" x14ac:dyDescent="0.25">
      <c r="BP1564" s="2"/>
      <c r="BQ1564" s="2"/>
      <c r="BR1564" s="2"/>
      <c r="BS1564" s="2"/>
      <c r="BT1564" s="2"/>
      <c r="BU1564" s="2"/>
    </row>
    <row r="1565" spans="68:73" x14ac:dyDescent="0.25">
      <c r="BP1565" s="2"/>
      <c r="BQ1565" s="2"/>
      <c r="BR1565" s="2"/>
      <c r="BS1565" s="2"/>
      <c r="BT1565" s="2"/>
      <c r="BU1565" s="2"/>
    </row>
    <row r="1566" spans="68:73" x14ac:dyDescent="0.25">
      <c r="BP1566" s="2"/>
      <c r="BQ1566" s="2"/>
      <c r="BR1566" s="2"/>
      <c r="BS1566" s="2"/>
      <c r="BT1566" s="2"/>
      <c r="BU1566" s="2"/>
    </row>
    <row r="1567" spans="68:73" x14ac:dyDescent="0.25">
      <c r="BP1567" s="2"/>
      <c r="BQ1567" s="2"/>
      <c r="BR1567" s="2"/>
      <c r="BS1567" s="2"/>
      <c r="BT1567" s="2"/>
      <c r="BU1567" s="2"/>
    </row>
    <row r="1568" spans="68:73" x14ac:dyDescent="0.25">
      <c r="BP1568" s="2"/>
      <c r="BQ1568" s="2"/>
      <c r="BR1568" s="2"/>
      <c r="BS1568" s="2"/>
      <c r="BT1568" s="2"/>
      <c r="BU1568" s="2"/>
    </row>
    <row r="1569" spans="68:73" x14ac:dyDescent="0.25">
      <c r="BP1569" s="2"/>
      <c r="BQ1569" s="2"/>
      <c r="BR1569" s="2"/>
      <c r="BS1569" s="2"/>
      <c r="BT1569" s="2"/>
      <c r="BU1569" s="2"/>
    </row>
    <row r="1570" spans="68:73" x14ac:dyDescent="0.25">
      <c r="BP1570" s="2"/>
      <c r="BQ1570" s="2"/>
      <c r="BR1570" s="2"/>
      <c r="BS1570" s="2"/>
      <c r="BT1570" s="2"/>
      <c r="BU1570" s="2"/>
    </row>
    <row r="1571" spans="68:73" x14ac:dyDescent="0.25">
      <c r="BP1571" s="2"/>
      <c r="BQ1571" s="2"/>
      <c r="BR1571" s="2"/>
      <c r="BS1571" s="2"/>
      <c r="BT1571" s="2"/>
      <c r="BU1571" s="2"/>
    </row>
    <row r="1572" spans="68:73" x14ac:dyDescent="0.25">
      <c r="BP1572" s="2"/>
      <c r="BQ1572" s="2"/>
      <c r="BR1572" s="2"/>
      <c r="BS1572" s="2"/>
      <c r="BT1572" s="2"/>
      <c r="BU1572" s="2"/>
    </row>
    <row r="1573" spans="68:73" x14ac:dyDescent="0.25">
      <c r="BP1573" s="2"/>
      <c r="BQ1573" s="2"/>
      <c r="BR1573" s="2"/>
      <c r="BS1573" s="2"/>
      <c r="BT1573" s="2"/>
      <c r="BU1573" s="2"/>
    </row>
    <row r="1574" spans="68:73" x14ac:dyDescent="0.25">
      <c r="BP1574" s="2"/>
      <c r="BQ1574" s="2"/>
      <c r="BR1574" s="2"/>
      <c r="BS1574" s="2"/>
      <c r="BT1574" s="2"/>
      <c r="BU1574" s="2"/>
    </row>
    <row r="1575" spans="68:73" x14ac:dyDescent="0.25">
      <c r="BP1575" s="2"/>
      <c r="BQ1575" s="2"/>
      <c r="BR1575" s="2"/>
      <c r="BS1575" s="2"/>
      <c r="BT1575" s="2"/>
      <c r="BU1575" s="2"/>
    </row>
    <row r="1576" spans="68:73" x14ac:dyDescent="0.25">
      <c r="BP1576" s="2"/>
      <c r="BQ1576" s="2"/>
      <c r="BR1576" s="2"/>
      <c r="BS1576" s="2"/>
      <c r="BT1576" s="2"/>
      <c r="BU1576" s="2"/>
    </row>
    <row r="1577" spans="68:73" x14ac:dyDescent="0.25">
      <c r="BP1577" s="2"/>
      <c r="BQ1577" s="2"/>
      <c r="BR1577" s="2"/>
      <c r="BS1577" s="2"/>
      <c r="BT1577" s="2"/>
      <c r="BU1577" s="2"/>
    </row>
    <row r="1578" spans="68:73" x14ac:dyDescent="0.25">
      <c r="BP1578" s="2"/>
      <c r="BQ1578" s="2"/>
      <c r="BR1578" s="2"/>
      <c r="BS1578" s="2"/>
      <c r="BT1578" s="2"/>
      <c r="BU1578" s="2"/>
    </row>
    <row r="1579" spans="68:73" x14ac:dyDescent="0.25">
      <c r="BP1579" s="2"/>
      <c r="BQ1579" s="2"/>
      <c r="BR1579" s="2"/>
      <c r="BS1579" s="2"/>
      <c r="BT1579" s="2"/>
      <c r="BU1579" s="2"/>
    </row>
    <row r="1580" spans="68:73" x14ac:dyDescent="0.25">
      <c r="BP1580" s="2"/>
      <c r="BQ1580" s="2"/>
      <c r="BR1580" s="2"/>
      <c r="BS1580" s="2"/>
      <c r="BT1580" s="2"/>
      <c r="BU1580" s="2"/>
    </row>
    <row r="1581" spans="68:73" x14ac:dyDescent="0.25">
      <c r="BP1581" s="2"/>
      <c r="BQ1581" s="2"/>
      <c r="BR1581" s="2"/>
      <c r="BS1581" s="2"/>
      <c r="BT1581" s="2"/>
      <c r="BU1581" s="2"/>
    </row>
    <row r="1582" spans="68:73" x14ac:dyDescent="0.25">
      <c r="BP1582" s="2"/>
      <c r="BQ1582" s="2"/>
      <c r="BR1582" s="2"/>
      <c r="BS1582" s="2"/>
      <c r="BT1582" s="2"/>
      <c r="BU1582" s="2"/>
    </row>
    <row r="1583" spans="68:73" x14ac:dyDescent="0.25">
      <c r="BP1583" s="2"/>
      <c r="BQ1583" s="2"/>
      <c r="BR1583" s="2"/>
      <c r="BS1583" s="2"/>
      <c r="BT1583" s="2"/>
      <c r="BU1583" s="2"/>
    </row>
    <row r="1584" spans="68:73" x14ac:dyDescent="0.25">
      <c r="BP1584" s="2"/>
      <c r="BQ1584" s="2"/>
      <c r="BR1584" s="2"/>
      <c r="BS1584" s="2"/>
      <c r="BT1584" s="2"/>
      <c r="BU1584" s="2"/>
    </row>
    <row r="1585" spans="68:73" x14ac:dyDescent="0.25">
      <c r="BP1585" s="2"/>
      <c r="BQ1585" s="2"/>
      <c r="BR1585" s="2"/>
      <c r="BS1585" s="2"/>
      <c r="BT1585" s="2"/>
      <c r="BU1585" s="2"/>
    </row>
    <row r="1586" spans="68:73" x14ac:dyDescent="0.25">
      <c r="BP1586" s="2"/>
      <c r="BQ1586" s="2"/>
      <c r="BR1586" s="2"/>
      <c r="BS1586" s="2"/>
      <c r="BT1586" s="2"/>
      <c r="BU1586" s="2"/>
    </row>
    <row r="1587" spans="68:73" x14ac:dyDescent="0.25">
      <c r="BP1587" s="2"/>
      <c r="BQ1587" s="2"/>
      <c r="BR1587" s="2"/>
      <c r="BS1587" s="2"/>
      <c r="BT1587" s="2"/>
      <c r="BU1587" s="2"/>
    </row>
    <row r="1588" spans="68:73" x14ac:dyDescent="0.25">
      <c r="BP1588" s="2"/>
      <c r="BQ1588" s="2"/>
      <c r="BR1588" s="2"/>
      <c r="BS1588" s="2"/>
      <c r="BT1588" s="2"/>
      <c r="BU1588" s="2"/>
    </row>
    <row r="1589" spans="68:73" x14ac:dyDescent="0.25">
      <c r="BP1589" s="2"/>
      <c r="BQ1589" s="2"/>
      <c r="BR1589" s="2"/>
      <c r="BS1589" s="2"/>
      <c r="BT1589" s="2"/>
      <c r="BU1589" s="2"/>
    </row>
    <row r="1590" spans="68:73" x14ac:dyDescent="0.25">
      <c r="BP1590" s="2"/>
      <c r="BQ1590" s="2"/>
      <c r="BR1590" s="2"/>
      <c r="BS1590" s="2"/>
      <c r="BT1590" s="2"/>
      <c r="BU1590" s="2"/>
    </row>
    <row r="1591" spans="68:73" x14ac:dyDescent="0.25">
      <c r="BP1591" s="2"/>
      <c r="BQ1591" s="2"/>
      <c r="BR1591" s="2"/>
      <c r="BS1591" s="2"/>
      <c r="BT1591" s="2"/>
      <c r="BU1591" s="2"/>
    </row>
    <row r="1592" spans="68:73" x14ac:dyDescent="0.25">
      <c r="BP1592" s="2"/>
      <c r="BQ1592" s="2"/>
      <c r="BR1592" s="2"/>
      <c r="BS1592" s="2"/>
      <c r="BT1592" s="2"/>
      <c r="BU1592" s="2"/>
    </row>
    <row r="1593" spans="68:73" x14ac:dyDescent="0.25">
      <c r="BP1593" s="2"/>
      <c r="BQ1593" s="2"/>
      <c r="BR1593" s="2"/>
      <c r="BS1593" s="2"/>
      <c r="BT1593" s="2"/>
      <c r="BU1593" s="2"/>
    </row>
    <row r="1594" spans="68:73" x14ac:dyDescent="0.25">
      <c r="BP1594" s="2"/>
      <c r="BQ1594" s="2"/>
      <c r="BR1594" s="2"/>
      <c r="BS1594" s="2"/>
      <c r="BT1594" s="2"/>
      <c r="BU1594" s="2"/>
    </row>
    <row r="1595" spans="68:73" x14ac:dyDescent="0.25">
      <c r="BP1595" s="2"/>
      <c r="BQ1595" s="2"/>
      <c r="BR1595" s="2"/>
      <c r="BS1595" s="2"/>
      <c r="BT1595" s="2"/>
      <c r="BU1595" s="2"/>
    </row>
    <row r="1596" spans="68:73" x14ac:dyDescent="0.25">
      <c r="BP1596" s="2"/>
      <c r="BQ1596" s="2"/>
      <c r="BR1596" s="2"/>
      <c r="BS1596" s="2"/>
      <c r="BT1596" s="2"/>
      <c r="BU1596" s="2"/>
    </row>
    <row r="1597" spans="68:73" x14ac:dyDescent="0.25">
      <c r="BP1597" s="2"/>
      <c r="BQ1597" s="2"/>
      <c r="BR1597" s="2"/>
      <c r="BS1597" s="2"/>
      <c r="BT1597" s="2"/>
      <c r="BU1597" s="2"/>
    </row>
    <row r="1598" spans="68:73" x14ac:dyDescent="0.25">
      <c r="BP1598" s="2"/>
      <c r="BQ1598" s="2"/>
      <c r="BR1598" s="2"/>
      <c r="BS1598" s="2"/>
      <c r="BT1598" s="2"/>
      <c r="BU1598" s="2"/>
    </row>
    <row r="1599" spans="68:73" x14ac:dyDescent="0.25">
      <c r="BP1599" s="2"/>
      <c r="BQ1599" s="2"/>
      <c r="BR1599" s="2"/>
      <c r="BS1599" s="2"/>
      <c r="BT1599" s="2"/>
      <c r="BU1599" s="2"/>
    </row>
    <row r="1600" spans="68:73" x14ac:dyDescent="0.25">
      <c r="BP1600" s="2"/>
      <c r="BQ1600" s="2"/>
      <c r="BR1600" s="2"/>
      <c r="BS1600" s="2"/>
      <c r="BT1600" s="2"/>
      <c r="BU1600" s="2"/>
    </row>
    <row r="1601" spans="68:73" x14ac:dyDescent="0.25">
      <c r="BP1601" s="2"/>
      <c r="BQ1601" s="2"/>
      <c r="BR1601" s="2"/>
      <c r="BS1601" s="2"/>
      <c r="BT1601" s="2"/>
      <c r="BU1601" s="2"/>
    </row>
    <row r="1602" spans="68:73" x14ac:dyDescent="0.25">
      <c r="BP1602" s="2"/>
      <c r="BQ1602" s="2"/>
      <c r="BR1602" s="2"/>
      <c r="BS1602" s="2"/>
      <c r="BT1602" s="2"/>
      <c r="BU1602" s="2"/>
    </row>
    <row r="1603" spans="68:73" x14ac:dyDescent="0.25">
      <c r="BP1603" s="2"/>
      <c r="BQ1603" s="2"/>
      <c r="BR1603" s="2"/>
      <c r="BS1603" s="2"/>
      <c r="BT1603" s="2"/>
      <c r="BU1603" s="2"/>
    </row>
    <row r="1604" spans="68:73" x14ac:dyDescent="0.25">
      <c r="BP1604" s="2"/>
      <c r="BQ1604" s="2"/>
      <c r="BR1604" s="2"/>
      <c r="BS1604" s="2"/>
      <c r="BT1604" s="2"/>
      <c r="BU1604" s="2"/>
    </row>
    <row r="1605" spans="68:73" x14ac:dyDescent="0.25">
      <c r="BP1605" s="2"/>
      <c r="BQ1605" s="2"/>
      <c r="BR1605" s="2"/>
      <c r="BS1605" s="2"/>
      <c r="BT1605" s="2"/>
      <c r="BU1605" s="2"/>
    </row>
    <row r="1606" spans="68:73" x14ac:dyDescent="0.25">
      <c r="BP1606" s="2"/>
      <c r="BQ1606" s="2"/>
      <c r="BR1606" s="2"/>
      <c r="BS1606" s="2"/>
      <c r="BT1606" s="2"/>
      <c r="BU1606" s="2"/>
    </row>
    <row r="1607" spans="68:73" x14ac:dyDescent="0.25">
      <c r="BP1607" s="2"/>
      <c r="BQ1607" s="2"/>
      <c r="BR1607" s="2"/>
      <c r="BS1607" s="2"/>
      <c r="BT1607" s="2"/>
      <c r="BU1607" s="2"/>
    </row>
    <row r="1608" spans="68:73" x14ac:dyDescent="0.25">
      <c r="BP1608" s="2"/>
      <c r="BQ1608" s="2"/>
      <c r="BR1608" s="2"/>
      <c r="BS1608" s="2"/>
      <c r="BT1608" s="2"/>
      <c r="BU1608" s="2"/>
    </row>
    <row r="1609" spans="68:73" x14ac:dyDescent="0.25">
      <c r="BP1609" s="2"/>
      <c r="BQ1609" s="2"/>
      <c r="BR1609" s="2"/>
      <c r="BS1609" s="2"/>
      <c r="BT1609" s="2"/>
      <c r="BU1609" s="2"/>
    </row>
    <row r="1610" spans="68:73" x14ac:dyDescent="0.25">
      <c r="BP1610" s="2"/>
      <c r="BQ1610" s="2"/>
      <c r="BR1610" s="2"/>
      <c r="BS1610" s="2"/>
      <c r="BT1610" s="2"/>
      <c r="BU1610" s="2"/>
    </row>
    <row r="1611" spans="68:73" x14ac:dyDescent="0.25">
      <c r="BP1611" s="2"/>
      <c r="BQ1611" s="2"/>
      <c r="BR1611" s="2"/>
      <c r="BS1611" s="2"/>
      <c r="BT1611" s="2"/>
      <c r="BU1611" s="2"/>
    </row>
    <row r="1612" spans="68:73" x14ac:dyDescent="0.25">
      <c r="BP1612" s="2"/>
      <c r="BQ1612" s="2"/>
      <c r="BR1612" s="2"/>
      <c r="BS1612" s="2"/>
      <c r="BT1612" s="2"/>
      <c r="BU1612" s="2"/>
    </row>
    <row r="1613" spans="68:73" x14ac:dyDescent="0.25">
      <c r="BP1613" s="2"/>
      <c r="BQ1613" s="2"/>
      <c r="BR1613" s="2"/>
      <c r="BS1613" s="2"/>
      <c r="BT1613" s="2"/>
      <c r="BU1613" s="2"/>
    </row>
    <row r="1614" spans="68:73" x14ac:dyDescent="0.25">
      <c r="BP1614" s="2"/>
      <c r="BQ1614" s="2"/>
      <c r="BR1614" s="2"/>
      <c r="BS1614" s="2"/>
      <c r="BT1614" s="2"/>
      <c r="BU1614" s="2"/>
    </row>
    <row r="1615" spans="68:73" x14ac:dyDescent="0.25">
      <c r="BP1615" s="2"/>
      <c r="BQ1615" s="2"/>
      <c r="BR1615" s="2"/>
      <c r="BS1615" s="2"/>
      <c r="BT1615" s="2"/>
      <c r="BU1615" s="2"/>
    </row>
    <row r="1616" spans="68:73" x14ac:dyDescent="0.25">
      <c r="BP1616" s="2"/>
      <c r="BQ1616" s="2"/>
      <c r="BR1616" s="2"/>
      <c r="BS1616" s="2"/>
      <c r="BT1616" s="2"/>
      <c r="BU1616" s="2"/>
    </row>
    <row r="1617" spans="68:73" x14ac:dyDescent="0.25">
      <c r="BP1617" s="2"/>
      <c r="BQ1617" s="2"/>
      <c r="BR1617" s="2"/>
      <c r="BS1617" s="2"/>
      <c r="BT1617" s="2"/>
      <c r="BU1617" s="2"/>
    </row>
    <row r="1618" spans="68:73" x14ac:dyDescent="0.25">
      <c r="BP1618" s="2"/>
      <c r="BQ1618" s="2"/>
      <c r="BR1618" s="2"/>
      <c r="BS1618" s="2"/>
      <c r="BT1618" s="2"/>
      <c r="BU1618" s="2"/>
    </row>
    <row r="1619" spans="68:73" x14ac:dyDescent="0.25">
      <c r="BP1619" s="2"/>
      <c r="BQ1619" s="2"/>
      <c r="BR1619" s="2"/>
      <c r="BS1619" s="2"/>
      <c r="BT1619" s="2"/>
      <c r="BU1619" s="2"/>
    </row>
    <row r="1620" spans="68:73" x14ac:dyDescent="0.25">
      <c r="BP1620" s="2"/>
      <c r="BQ1620" s="2"/>
      <c r="BR1620" s="2"/>
      <c r="BS1620" s="2"/>
      <c r="BT1620" s="2"/>
      <c r="BU1620" s="2"/>
    </row>
    <row r="1621" spans="68:73" x14ac:dyDescent="0.25">
      <c r="BP1621" s="2"/>
      <c r="BQ1621" s="2"/>
      <c r="BR1621" s="2"/>
      <c r="BS1621" s="2"/>
      <c r="BT1621" s="2"/>
      <c r="BU1621" s="2"/>
    </row>
    <row r="1622" spans="68:73" x14ac:dyDescent="0.25">
      <c r="BP1622" s="2"/>
      <c r="BQ1622" s="2"/>
      <c r="BR1622" s="2"/>
      <c r="BS1622" s="2"/>
      <c r="BT1622" s="2"/>
      <c r="BU1622" s="2"/>
    </row>
    <row r="1623" spans="68:73" x14ac:dyDescent="0.25">
      <c r="BP1623" s="2"/>
      <c r="BQ1623" s="2"/>
      <c r="BR1623" s="2"/>
      <c r="BS1623" s="2"/>
      <c r="BT1623" s="2"/>
      <c r="BU1623" s="2"/>
    </row>
    <row r="1624" spans="68:73" x14ac:dyDescent="0.25">
      <c r="BP1624" s="2"/>
      <c r="BQ1624" s="2"/>
      <c r="BR1624" s="2"/>
      <c r="BS1624" s="2"/>
      <c r="BT1624" s="2"/>
      <c r="BU1624" s="2"/>
    </row>
    <row r="1625" spans="68:73" x14ac:dyDescent="0.25">
      <c r="BP1625" s="2"/>
      <c r="BQ1625" s="2"/>
      <c r="BR1625" s="2"/>
      <c r="BS1625" s="2"/>
      <c r="BT1625" s="2"/>
      <c r="BU1625" s="2"/>
    </row>
    <row r="1626" spans="68:73" x14ac:dyDescent="0.25">
      <c r="BP1626" s="2"/>
      <c r="BQ1626" s="2"/>
      <c r="BR1626" s="2"/>
      <c r="BS1626" s="2"/>
      <c r="BT1626" s="2"/>
      <c r="BU1626" s="2"/>
    </row>
    <row r="1627" spans="68:73" x14ac:dyDescent="0.25">
      <c r="BP1627" s="2"/>
      <c r="BQ1627" s="2"/>
      <c r="BR1627" s="2"/>
      <c r="BS1627" s="2"/>
      <c r="BT1627" s="2"/>
      <c r="BU1627" s="2"/>
    </row>
    <row r="1628" spans="68:73" x14ac:dyDescent="0.25">
      <c r="BP1628" s="2"/>
      <c r="BQ1628" s="2"/>
      <c r="BR1628" s="2"/>
      <c r="BS1628" s="2"/>
      <c r="BT1628" s="2"/>
      <c r="BU1628" s="2"/>
    </row>
    <row r="1629" spans="68:73" x14ac:dyDescent="0.25">
      <c r="BP1629" s="2"/>
      <c r="BQ1629" s="2"/>
      <c r="BR1629" s="2"/>
      <c r="BS1629" s="2"/>
      <c r="BT1629" s="2"/>
      <c r="BU1629" s="2"/>
    </row>
    <row r="1630" spans="68:73" x14ac:dyDescent="0.25">
      <c r="BP1630" s="2"/>
      <c r="BQ1630" s="2"/>
      <c r="BR1630" s="2"/>
      <c r="BS1630" s="2"/>
      <c r="BT1630" s="2"/>
      <c r="BU1630" s="2"/>
    </row>
    <row r="1631" spans="68:73" x14ac:dyDescent="0.25">
      <c r="BP1631" s="2"/>
      <c r="BQ1631" s="2"/>
      <c r="BR1631" s="2"/>
      <c r="BS1631" s="2"/>
      <c r="BT1631" s="2"/>
      <c r="BU1631" s="2"/>
    </row>
    <row r="1632" spans="68:73" x14ac:dyDescent="0.25">
      <c r="BP1632" s="2"/>
      <c r="BQ1632" s="2"/>
      <c r="BR1632" s="2"/>
      <c r="BS1632" s="2"/>
      <c r="BT1632" s="2"/>
      <c r="BU1632" s="2"/>
    </row>
    <row r="1633" spans="68:73" x14ac:dyDescent="0.25">
      <c r="BP1633" s="2"/>
      <c r="BQ1633" s="2"/>
      <c r="BR1633" s="2"/>
      <c r="BS1633" s="2"/>
      <c r="BT1633" s="2"/>
      <c r="BU1633" s="2"/>
    </row>
    <row r="1634" spans="68:73" x14ac:dyDescent="0.25">
      <c r="BP1634" s="2"/>
      <c r="BQ1634" s="2"/>
      <c r="BR1634" s="2"/>
      <c r="BS1634" s="2"/>
      <c r="BT1634" s="2"/>
      <c r="BU1634" s="2"/>
    </row>
    <row r="1635" spans="68:73" x14ac:dyDescent="0.25">
      <c r="BP1635" s="2"/>
      <c r="BQ1635" s="2"/>
      <c r="BR1635" s="2"/>
      <c r="BS1635" s="2"/>
      <c r="BT1635" s="2"/>
      <c r="BU1635" s="2"/>
    </row>
    <row r="1636" spans="68:73" x14ac:dyDescent="0.25">
      <c r="BP1636" s="2"/>
      <c r="BQ1636" s="2"/>
      <c r="BR1636" s="2"/>
      <c r="BS1636" s="2"/>
      <c r="BT1636" s="2"/>
      <c r="BU1636" s="2"/>
    </row>
    <row r="1637" spans="68:73" x14ac:dyDescent="0.25">
      <c r="BP1637" s="2"/>
      <c r="BQ1637" s="2"/>
      <c r="BR1637" s="2"/>
      <c r="BS1637" s="2"/>
      <c r="BT1637" s="2"/>
      <c r="BU1637" s="2"/>
    </row>
    <row r="1638" spans="68:73" x14ac:dyDescent="0.25">
      <c r="BP1638" s="2"/>
      <c r="BQ1638" s="2"/>
      <c r="BR1638" s="2"/>
      <c r="BS1638" s="2"/>
      <c r="BT1638" s="2"/>
      <c r="BU1638" s="2"/>
    </row>
    <row r="1639" spans="68:73" x14ac:dyDescent="0.25">
      <c r="BP1639" s="2"/>
      <c r="BQ1639" s="2"/>
      <c r="BR1639" s="2"/>
      <c r="BS1639" s="2"/>
      <c r="BT1639" s="2"/>
      <c r="BU1639" s="2"/>
    </row>
    <row r="1640" spans="68:73" x14ac:dyDescent="0.25">
      <c r="BP1640" s="2"/>
      <c r="BQ1640" s="2"/>
      <c r="BR1640" s="2"/>
      <c r="BS1640" s="2"/>
      <c r="BT1640" s="2"/>
      <c r="BU1640" s="2"/>
    </row>
    <row r="1641" spans="68:73" x14ac:dyDescent="0.25">
      <c r="BP1641" s="2"/>
      <c r="BQ1641" s="2"/>
      <c r="BR1641" s="2"/>
      <c r="BS1641" s="2"/>
      <c r="BT1641" s="2"/>
      <c r="BU1641" s="2"/>
    </row>
    <row r="1642" spans="68:73" x14ac:dyDescent="0.25">
      <c r="BP1642" s="2"/>
      <c r="BQ1642" s="2"/>
      <c r="BR1642" s="2"/>
      <c r="BS1642" s="2"/>
      <c r="BT1642" s="2"/>
      <c r="BU1642" s="2"/>
    </row>
    <row r="1643" spans="68:73" x14ac:dyDescent="0.25">
      <c r="BP1643" s="2"/>
      <c r="BQ1643" s="2"/>
      <c r="BR1643" s="2"/>
      <c r="BS1643" s="2"/>
      <c r="BT1643" s="2"/>
      <c r="BU1643" s="2"/>
    </row>
    <row r="1644" spans="68:73" x14ac:dyDescent="0.25">
      <c r="BP1644" s="2"/>
      <c r="BQ1644" s="2"/>
      <c r="BR1644" s="2"/>
      <c r="BS1644" s="2"/>
      <c r="BT1644" s="2"/>
      <c r="BU1644" s="2"/>
    </row>
    <row r="1645" spans="68:73" x14ac:dyDescent="0.25">
      <c r="BP1645" s="2"/>
      <c r="BQ1645" s="2"/>
      <c r="BR1645" s="2"/>
      <c r="BS1645" s="2"/>
      <c r="BT1645" s="2"/>
      <c r="BU1645" s="2"/>
    </row>
    <row r="1646" spans="68:73" x14ac:dyDescent="0.25">
      <c r="BP1646" s="2"/>
      <c r="BQ1646" s="2"/>
      <c r="BR1646" s="2"/>
      <c r="BS1646" s="2"/>
      <c r="BT1646" s="2"/>
      <c r="BU1646" s="2"/>
    </row>
    <row r="1647" spans="68:73" x14ac:dyDescent="0.25">
      <c r="BP1647" s="2"/>
      <c r="BQ1647" s="2"/>
      <c r="BR1647" s="2"/>
      <c r="BS1647" s="2"/>
      <c r="BT1647" s="2"/>
      <c r="BU1647" s="2"/>
    </row>
    <row r="1648" spans="68:73" x14ac:dyDescent="0.25">
      <c r="BP1648" s="2"/>
      <c r="BQ1648" s="2"/>
      <c r="BR1648" s="2"/>
      <c r="BS1648" s="2"/>
      <c r="BT1648" s="2"/>
      <c r="BU1648" s="2"/>
    </row>
    <row r="1649" spans="68:73" x14ac:dyDescent="0.25">
      <c r="BP1649" s="2"/>
      <c r="BQ1649" s="2"/>
      <c r="BR1649" s="2"/>
      <c r="BS1649" s="2"/>
      <c r="BT1649" s="2"/>
      <c r="BU1649" s="2"/>
    </row>
    <row r="1650" spans="68:73" x14ac:dyDescent="0.25">
      <c r="BP1650" s="2"/>
      <c r="BQ1650" s="2"/>
      <c r="BR1650" s="2"/>
      <c r="BS1650" s="2"/>
      <c r="BT1650" s="2"/>
      <c r="BU1650" s="2"/>
    </row>
    <row r="1651" spans="68:73" x14ac:dyDescent="0.25">
      <c r="BP1651" s="2"/>
      <c r="BQ1651" s="2"/>
      <c r="BR1651" s="2"/>
      <c r="BS1651" s="2"/>
      <c r="BT1651" s="2"/>
      <c r="BU1651" s="2"/>
    </row>
    <row r="1652" spans="68:73" x14ac:dyDescent="0.25">
      <c r="BP1652" s="2"/>
      <c r="BQ1652" s="2"/>
      <c r="BR1652" s="2"/>
      <c r="BS1652" s="2"/>
      <c r="BT1652" s="2"/>
      <c r="BU1652" s="2"/>
    </row>
    <row r="1653" spans="68:73" x14ac:dyDescent="0.25">
      <c r="BP1653" s="2"/>
      <c r="BQ1653" s="2"/>
      <c r="BR1653" s="2"/>
      <c r="BS1653" s="2"/>
      <c r="BT1653" s="2"/>
      <c r="BU1653" s="2"/>
    </row>
    <row r="1654" spans="68:73" x14ac:dyDescent="0.25">
      <c r="BP1654" s="2"/>
      <c r="BQ1654" s="2"/>
      <c r="BR1654" s="2"/>
      <c r="BS1654" s="2"/>
      <c r="BT1654" s="2"/>
      <c r="BU1654" s="2"/>
    </row>
    <row r="1655" spans="68:73" x14ac:dyDescent="0.25">
      <c r="BP1655" s="2"/>
      <c r="BQ1655" s="2"/>
      <c r="BR1655" s="2"/>
      <c r="BS1655" s="2"/>
      <c r="BT1655" s="2"/>
      <c r="BU1655" s="2"/>
    </row>
    <row r="1656" spans="68:73" x14ac:dyDescent="0.25">
      <c r="BP1656" s="2"/>
      <c r="BQ1656" s="2"/>
      <c r="BR1656" s="2"/>
      <c r="BS1656" s="2"/>
      <c r="BT1656" s="2"/>
      <c r="BU1656" s="2"/>
    </row>
    <row r="1657" spans="68:73" x14ac:dyDescent="0.25">
      <c r="BP1657" s="2"/>
      <c r="BQ1657" s="2"/>
      <c r="BR1657" s="2"/>
      <c r="BS1657" s="2"/>
      <c r="BT1657" s="2"/>
      <c r="BU1657" s="2"/>
    </row>
    <row r="1658" spans="68:73" x14ac:dyDescent="0.25">
      <c r="BP1658" s="2"/>
      <c r="BQ1658" s="2"/>
      <c r="BR1658" s="2"/>
      <c r="BS1658" s="2"/>
      <c r="BT1658" s="2"/>
      <c r="BU1658" s="2"/>
    </row>
    <row r="1659" spans="68:73" x14ac:dyDescent="0.25">
      <c r="BP1659" s="2"/>
      <c r="BQ1659" s="2"/>
      <c r="BR1659" s="2"/>
      <c r="BS1659" s="2"/>
      <c r="BT1659" s="2"/>
      <c r="BU1659" s="2"/>
    </row>
    <row r="1660" spans="68:73" x14ac:dyDescent="0.25">
      <c r="BP1660" s="2"/>
      <c r="BQ1660" s="2"/>
      <c r="BR1660" s="2"/>
      <c r="BS1660" s="2"/>
      <c r="BT1660" s="2"/>
      <c r="BU1660" s="2"/>
    </row>
    <row r="1661" spans="68:73" x14ac:dyDescent="0.25">
      <c r="BP1661" s="2"/>
      <c r="BQ1661" s="2"/>
      <c r="BR1661" s="2"/>
      <c r="BS1661" s="2"/>
      <c r="BT1661" s="2"/>
      <c r="BU1661" s="2"/>
    </row>
    <row r="1662" spans="68:73" x14ac:dyDescent="0.25">
      <c r="BP1662" s="2"/>
      <c r="BQ1662" s="2"/>
      <c r="BR1662" s="2"/>
      <c r="BS1662" s="2"/>
      <c r="BT1662" s="2"/>
      <c r="BU1662" s="2"/>
    </row>
    <row r="1663" spans="68:73" x14ac:dyDescent="0.25">
      <c r="BP1663" s="2"/>
      <c r="BQ1663" s="2"/>
      <c r="BR1663" s="2"/>
      <c r="BS1663" s="2"/>
      <c r="BT1663" s="2"/>
      <c r="BU1663" s="2"/>
    </row>
    <row r="1664" spans="68:73" x14ac:dyDescent="0.25">
      <c r="BP1664" s="2"/>
      <c r="BQ1664" s="2"/>
      <c r="BR1664" s="2"/>
      <c r="BS1664" s="2"/>
      <c r="BT1664" s="2"/>
      <c r="BU1664" s="2"/>
    </row>
    <row r="1665" spans="68:73" x14ac:dyDescent="0.25">
      <c r="BP1665" s="2"/>
      <c r="BQ1665" s="2"/>
      <c r="BR1665" s="2"/>
      <c r="BS1665" s="2"/>
      <c r="BT1665" s="2"/>
      <c r="BU1665" s="2"/>
    </row>
    <row r="1666" spans="68:73" x14ac:dyDescent="0.25">
      <c r="BP1666" s="2"/>
      <c r="BQ1666" s="2"/>
      <c r="BR1666" s="2"/>
      <c r="BS1666" s="2"/>
      <c r="BT1666" s="2"/>
      <c r="BU1666" s="2"/>
    </row>
    <row r="1667" spans="68:73" x14ac:dyDescent="0.25">
      <c r="BP1667" s="2"/>
      <c r="BQ1667" s="2"/>
      <c r="BR1667" s="2"/>
      <c r="BS1667" s="2"/>
      <c r="BT1667" s="2"/>
      <c r="BU1667" s="2"/>
    </row>
    <row r="1668" spans="68:73" x14ac:dyDescent="0.25">
      <c r="BP1668" s="2"/>
      <c r="BQ1668" s="2"/>
      <c r="BR1668" s="2"/>
      <c r="BS1668" s="2"/>
      <c r="BT1668" s="2"/>
      <c r="BU1668" s="2"/>
    </row>
    <row r="1669" spans="68:73" x14ac:dyDescent="0.25">
      <c r="BP1669" s="2"/>
      <c r="BQ1669" s="2"/>
      <c r="BR1669" s="2"/>
      <c r="BS1669" s="2"/>
      <c r="BT1669" s="2"/>
      <c r="BU1669" s="2"/>
    </row>
    <row r="1670" spans="68:73" x14ac:dyDescent="0.25">
      <c r="BP1670" s="2"/>
      <c r="BQ1670" s="2"/>
      <c r="BR1670" s="2"/>
      <c r="BS1670" s="2"/>
      <c r="BT1670" s="2"/>
      <c r="BU1670" s="2"/>
    </row>
    <row r="1671" spans="68:73" x14ac:dyDescent="0.25">
      <c r="BP1671" s="2"/>
      <c r="BQ1671" s="2"/>
      <c r="BR1671" s="2"/>
      <c r="BS1671" s="2"/>
      <c r="BT1671" s="2"/>
      <c r="BU1671" s="2"/>
    </row>
    <row r="1672" spans="68:73" x14ac:dyDescent="0.25">
      <c r="BP1672" s="2"/>
      <c r="BQ1672" s="2"/>
      <c r="BR1672" s="2"/>
      <c r="BS1672" s="2"/>
      <c r="BT1672" s="2"/>
      <c r="BU1672" s="2"/>
    </row>
    <row r="1673" spans="68:73" x14ac:dyDescent="0.25">
      <c r="BP1673" s="2"/>
      <c r="BQ1673" s="2"/>
      <c r="BR1673" s="2"/>
      <c r="BS1673" s="2"/>
      <c r="BT1673" s="2"/>
      <c r="BU1673" s="2"/>
    </row>
    <row r="1674" spans="68:73" x14ac:dyDescent="0.25">
      <c r="BP1674" s="2"/>
      <c r="BQ1674" s="2"/>
      <c r="BR1674" s="2"/>
      <c r="BS1674" s="2"/>
      <c r="BT1674" s="2"/>
      <c r="BU1674" s="2"/>
    </row>
    <row r="1675" spans="68:73" x14ac:dyDescent="0.25">
      <c r="BP1675" s="2"/>
      <c r="BQ1675" s="2"/>
      <c r="BR1675" s="2"/>
      <c r="BS1675" s="2"/>
      <c r="BT1675" s="2"/>
      <c r="BU1675" s="2"/>
    </row>
    <row r="1676" spans="68:73" x14ac:dyDescent="0.25">
      <c r="BP1676" s="2"/>
      <c r="BQ1676" s="2"/>
      <c r="BR1676" s="2"/>
      <c r="BS1676" s="2"/>
      <c r="BT1676" s="2"/>
      <c r="BU1676" s="2"/>
    </row>
    <row r="1677" spans="68:73" x14ac:dyDescent="0.25">
      <c r="BP1677" s="2"/>
      <c r="BQ1677" s="2"/>
      <c r="BR1677" s="2"/>
      <c r="BS1677" s="2"/>
      <c r="BT1677" s="2"/>
      <c r="BU1677" s="2"/>
    </row>
    <row r="1678" spans="68:73" x14ac:dyDescent="0.25">
      <c r="BP1678" s="2"/>
      <c r="BQ1678" s="2"/>
      <c r="BR1678" s="2"/>
      <c r="BS1678" s="2"/>
      <c r="BT1678" s="2"/>
      <c r="BU1678" s="2"/>
    </row>
    <row r="1679" spans="68:73" x14ac:dyDescent="0.25">
      <c r="BP1679" s="2"/>
      <c r="BQ1679" s="2"/>
      <c r="BR1679" s="2"/>
      <c r="BS1679" s="2"/>
      <c r="BT1679" s="2"/>
      <c r="BU1679" s="2"/>
    </row>
    <row r="1680" spans="68:73" x14ac:dyDescent="0.25">
      <c r="BP1680" s="2"/>
      <c r="BQ1680" s="2"/>
      <c r="BR1680" s="2"/>
      <c r="BS1680" s="2"/>
      <c r="BT1680" s="2"/>
      <c r="BU1680" s="2"/>
    </row>
    <row r="1681" spans="68:73" x14ac:dyDescent="0.25">
      <c r="BP1681" s="2"/>
      <c r="BQ1681" s="2"/>
      <c r="BR1681" s="2"/>
      <c r="BS1681" s="2"/>
      <c r="BT1681" s="2"/>
      <c r="BU1681" s="2"/>
    </row>
    <row r="1682" spans="68:73" x14ac:dyDescent="0.25">
      <c r="BP1682" s="2"/>
      <c r="BQ1682" s="2"/>
      <c r="BR1682" s="2"/>
      <c r="BS1682" s="2"/>
      <c r="BT1682" s="2"/>
      <c r="BU1682" s="2"/>
    </row>
    <row r="1683" spans="68:73" x14ac:dyDescent="0.25">
      <c r="BP1683" s="2"/>
      <c r="BQ1683" s="2"/>
      <c r="BR1683" s="2"/>
      <c r="BS1683" s="2"/>
      <c r="BT1683" s="2"/>
      <c r="BU1683" s="2"/>
    </row>
    <row r="1684" spans="68:73" x14ac:dyDescent="0.25">
      <c r="BP1684" s="2"/>
      <c r="BQ1684" s="2"/>
      <c r="BR1684" s="2"/>
      <c r="BS1684" s="2"/>
      <c r="BT1684" s="2"/>
      <c r="BU1684" s="2"/>
    </row>
    <row r="1685" spans="68:73" x14ac:dyDescent="0.25">
      <c r="BP1685" s="2"/>
      <c r="BQ1685" s="2"/>
      <c r="BR1685" s="2"/>
      <c r="BS1685" s="2"/>
      <c r="BT1685" s="2"/>
      <c r="BU1685" s="2"/>
    </row>
    <row r="1686" spans="68:73" x14ac:dyDescent="0.25">
      <c r="BP1686" s="2"/>
      <c r="BQ1686" s="2"/>
      <c r="BR1686" s="2"/>
      <c r="BS1686" s="2"/>
      <c r="BT1686" s="2"/>
      <c r="BU1686" s="2"/>
    </row>
    <row r="1687" spans="68:73" x14ac:dyDescent="0.25">
      <c r="BP1687" s="2"/>
      <c r="BQ1687" s="2"/>
      <c r="BR1687" s="2"/>
      <c r="BS1687" s="2"/>
      <c r="BT1687" s="2"/>
      <c r="BU1687" s="2"/>
    </row>
    <row r="1688" spans="68:73" x14ac:dyDescent="0.25">
      <c r="BP1688" s="2"/>
      <c r="BQ1688" s="2"/>
      <c r="BR1688" s="2"/>
      <c r="BS1688" s="2"/>
      <c r="BT1688" s="2"/>
      <c r="BU1688" s="2"/>
    </row>
    <row r="1689" spans="68:73" x14ac:dyDescent="0.25">
      <c r="BP1689" s="2"/>
      <c r="BQ1689" s="2"/>
      <c r="BR1689" s="2"/>
      <c r="BS1689" s="2"/>
      <c r="BT1689" s="2"/>
      <c r="BU1689" s="2"/>
    </row>
    <row r="1690" spans="68:73" x14ac:dyDescent="0.25">
      <c r="BP1690" s="2"/>
      <c r="BQ1690" s="2"/>
      <c r="BR1690" s="2"/>
      <c r="BS1690" s="2"/>
      <c r="BT1690" s="2"/>
      <c r="BU1690" s="2"/>
    </row>
    <row r="1691" spans="68:73" x14ac:dyDescent="0.25">
      <c r="BP1691" s="2"/>
      <c r="BQ1691" s="2"/>
      <c r="BR1691" s="2"/>
      <c r="BS1691" s="2"/>
      <c r="BT1691" s="2"/>
      <c r="BU1691" s="2"/>
    </row>
    <row r="1692" spans="68:73" x14ac:dyDescent="0.25">
      <c r="BP1692" s="2"/>
      <c r="BQ1692" s="2"/>
      <c r="BR1692" s="2"/>
      <c r="BS1692" s="2"/>
      <c r="BT1692" s="2"/>
      <c r="BU1692" s="2"/>
    </row>
    <row r="1693" spans="68:73" x14ac:dyDescent="0.25">
      <c r="BP1693" s="2"/>
      <c r="BQ1693" s="2"/>
      <c r="BR1693" s="2"/>
      <c r="BS1693" s="2"/>
      <c r="BT1693" s="2"/>
      <c r="BU1693" s="2"/>
    </row>
    <row r="1694" spans="68:73" x14ac:dyDescent="0.25">
      <c r="BP1694" s="2"/>
      <c r="BQ1694" s="2"/>
      <c r="BR1694" s="2"/>
      <c r="BS1694" s="2"/>
      <c r="BT1694" s="2"/>
      <c r="BU1694" s="2"/>
    </row>
    <row r="1695" spans="68:73" x14ac:dyDescent="0.25">
      <c r="BP1695" s="2"/>
      <c r="BQ1695" s="2"/>
      <c r="BR1695" s="2"/>
      <c r="BS1695" s="2"/>
      <c r="BT1695" s="2"/>
      <c r="BU1695" s="2"/>
    </row>
    <row r="1696" spans="68:73" x14ac:dyDescent="0.25">
      <c r="BP1696" s="2"/>
      <c r="BQ1696" s="2"/>
      <c r="BR1696" s="2"/>
      <c r="BS1696" s="2"/>
      <c r="BT1696" s="2"/>
      <c r="BU1696" s="2"/>
    </row>
    <row r="1697" spans="68:73" x14ac:dyDescent="0.25">
      <c r="BP1697" s="2"/>
      <c r="BQ1697" s="2"/>
      <c r="BR1697" s="2"/>
      <c r="BS1697" s="2"/>
      <c r="BT1697" s="2"/>
      <c r="BU1697" s="2"/>
    </row>
    <row r="1698" spans="68:73" x14ac:dyDescent="0.25">
      <c r="BP1698" s="2"/>
      <c r="BQ1698" s="2"/>
      <c r="BR1698" s="2"/>
      <c r="BS1698" s="2"/>
      <c r="BT1698" s="2"/>
      <c r="BU1698" s="2"/>
    </row>
    <row r="1699" spans="68:73" x14ac:dyDescent="0.25">
      <c r="BP1699" s="2"/>
      <c r="BQ1699" s="2"/>
      <c r="BR1699" s="2"/>
      <c r="BS1699" s="2"/>
      <c r="BT1699" s="2"/>
      <c r="BU1699" s="2"/>
    </row>
    <row r="1700" spans="68:73" x14ac:dyDescent="0.25">
      <c r="BP1700" s="2"/>
      <c r="BQ1700" s="2"/>
      <c r="BR1700" s="2"/>
      <c r="BS1700" s="2"/>
      <c r="BT1700" s="2"/>
      <c r="BU1700" s="2"/>
    </row>
    <row r="1701" spans="68:73" x14ac:dyDescent="0.25">
      <c r="BP1701" s="2"/>
      <c r="BQ1701" s="2"/>
      <c r="BR1701" s="2"/>
      <c r="BS1701" s="2"/>
      <c r="BT1701" s="2"/>
      <c r="BU1701" s="2"/>
    </row>
    <row r="1702" spans="68:73" x14ac:dyDescent="0.25">
      <c r="BP1702" s="2"/>
      <c r="BQ1702" s="2"/>
      <c r="BR1702" s="2"/>
      <c r="BS1702" s="2"/>
      <c r="BT1702" s="2"/>
      <c r="BU1702" s="2"/>
    </row>
    <row r="1703" spans="68:73" x14ac:dyDescent="0.25">
      <c r="BP1703" s="2"/>
      <c r="BQ1703" s="2"/>
      <c r="BR1703" s="2"/>
      <c r="BS1703" s="2"/>
      <c r="BT1703" s="2"/>
      <c r="BU1703" s="2"/>
    </row>
    <row r="1704" spans="68:73" x14ac:dyDescent="0.25">
      <c r="BP1704" s="2"/>
      <c r="BQ1704" s="2"/>
      <c r="BR1704" s="2"/>
      <c r="BS1704" s="2"/>
      <c r="BT1704" s="2"/>
      <c r="BU1704" s="2"/>
    </row>
    <row r="1705" spans="68:73" x14ac:dyDescent="0.25">
      <c r="BP1705" s="2"/>
      <c r="BQ1705" s="2"/>
      <c r="BR1705" s="2"/>
      <c r="BS1705" s="2"/>
      <c r="BT1705" s="2"/>
      <c r="BU1705" s="2"/>
    </row>
    <row r="1706" spans="68:73" x14ac:dyDescent="0.25">
      <c r="BP1706" s="2"/>
      <c r="BQ1706" s="2"/>
      <c r="BR1706" s="2"/>
      <c r="BS1706" s="2"/>
      <c r="BT1706" s="2"/>
      <c r="BU1706" s="2"/>
    </row>
    <row r="1707" spans="68:73" x14ac:dyDescent="0.25">
      <c r="BP1707" s="2"/>
      <c r="BQ1707" s="2"/>
      <c r="BR1707" s="2"/>
      <c r="BS1707" s="2"/>
      <c r="BT1707" s="2"/>
      <c r="BU1707" s="2"/>
    </row>
    <row r="1708" spans="68:73" x14ac:dyDescent="0.25">
      <c r="BP1708" s="2"/>
      <c r="BQ1708" s="2"/>
      <c r="BR1708" s="2"/>
      <c r="BS1708" s="2"/>
      <c r="BT1708" s="2"/>
      <c r="BU1708" s="2"/>
    </row>
    <row r="1709" spans="68:73" x14ac:dyDescent="0.25">
      <c r="BP1709" s="2"/>
      <c r="BQ1709" s="2"/>
      <c r="BR1709" s="2"/>
      <c r="BS1709" s="2"/>
      <c r="BT1709" s="2"/>
      <c r="BU1709" s="2"/>
    </row>
    <row r="1710" spans="68:73" x14ac:dyDescent="0.25">
      <c r="BP1710" s="2"/>
      <c r="BQ1710" s="2"/>
      <c r="BR1710" s="2"/>
      <c r="BS1710" s="2"/>
      <c r="BT1710" s="2"/>
      <c r="BU1710" s="2"/>
    </row>
    <row r="1711" spans="68:73" x14ac:dyDescent="0.25">
      <c r="BP1711" s="2"/>
      <c r="BQ1711" s="2"/>
      <c r="BR1711" s="2"/>
      <c r="BS1711" s="2"/>
      <c r="BT1711" s="2"/>
      <c r="BU1711" s="2"/>
    </row>
    <row r="1712" spans="68:73" x14ac:dyDescent="0.25">
      <c r="BP1712" s="2"/>
      <c r="BQ1712" s="2"/>
      <c r="BR1712" s="2"/>
      <c r="BS1712" s="2"/>
      <c r="BT1712" s="2"/>
      <c r="BU1712" s="2"/>
    </row>
    <row r="1713" spans="68:73" x14ac:dyDescent="0.25">
      <c r="BP1713" s="2"/>
      <c r="BQ1713" s="2"/>
      <c r="BR1713" s="2"/>
      <c r="BS1713" s="2"/>
      <c r="BT1713" s="2"/>
      <c r="BU1713" s="2"/>
    </row>
    <row r="1714" spans="68:73" x14ac:dyDescent="0.25">
      <c r="BP1714" s="2"/>
      <c r="BQ1714" s="2"/>
      <c r="BR1714" s="2"/>
      <c r="BS1714" s="2"/>
      <c r="BT1714" s="2"/>
      <c r="BU1714" s="2"/>
    </row>
    <row r="1715" spans="68:73" x14ac:dyDescent="0.25">
      <c r="BP1715" s="2"/>
      <c r="BQ1715" s="2"/>
      <c r="BR1715" s="2"/>
      <c r="BS1715" s="2"/>
      <c r="BT1715" s="2"/>
      <c r="BU1715" s="2"/>
    </row>
    <row r="1716" spans="68:73" x14ac:dyDescent="0.25">
      <c r="BP1716" s="2"/>
      <c r="BQ1716" s="2"/>
      <c r="BR1716" s="2"/>
      <c r="BS1716" s="2"/>
      <c r="BT1716" s="2"/>
      <c r="BU1716" s="2"/>
    </row>
    <row r="1717" spans="68:73" x14ac:dyDescent="0.25">
      <c r="BP1717" s="2"/>
      <c r="BQ1717" s="2"/>
      <c r="BR1717" s="2"/>
      <c r="BS1717" s="2"/>
      <c r="BT1717" s="2"/>
      <c r="BU1717" s="2"/>
    </row>
    <row r="1718" spans="68:73" x14ac:dyDescent="0.25">
      <c r="BP1718" s="2"/>
      <c r="BQ1718" s="2"/>
      <c r="BR1718" s="2"/>
      <c r="BS1718" s="2"/>
      <c r="BT1718" s="2"/>
      <c r="BU1718" s="2"/>
    </row>
    <row r="1719" spans="68:73" x14ac:dyDescent="0.25">
      <c r="BP1719" s="2"/>
      <c r="BQ1719" s="2"/>
      <c r="BR1719" s="2"/>
      <c r="BS1719" s="2"/>
      <c r="BT1719" s="2"/>
      <c r="BU1719" s="2"/>
    </row>
    <row r="1720" spans="68:73" x14ac:dyDescent="0.25">
      <c r="BP1720" s="2"/>
      <c r="BQ1720" s="2"/>
      <c r="BR1720" s="2"/>
      <c r="BS1720" s="2"/>
      <c r="BT1720" s="2"/>
      <c r="BU1720" s="2"/>
    </row>
    <row r="1721" spans="68:73" x14ac:dyDescent="0.25">
      <c r="BP1721" s="2"/>
      <c r="BQ1721" s="2"/>
      <c r="BR1721" s="2"/>
      <c r="BS1721" s="2"/>
      <c r="BT1721" s="2"/>
      <c r="BU1721" s="2"/>
    </row>
    <row r="1722" spans="68:73" x14ac:dyDescent="0.25">
      <c r="BP1722" s="2"/>
      <c r="BQ1722" s="2"/>
      <c r="BR1722" s="2"/>
      <c r="BS1722" s="2"/>
      <c r="BT1722" s="2"/>
      <c r="BU1722" s="2"/>
    </row>
    <row r="1723" spans="68:73" x14ac:dyDescent="0.25">
      <c r="BP1723" s="2"/>
      <c r="BQ1723" s="2"/>
      <c r="BR1723" s="2"/>
      <c r="BS1723" s="2"/>
      <c r="BT1723" s="2"/>
      <c r="BU1723" s="2"/>
    </row>
    <row r="1724" spans="68:73" x14ac:dyDescent="0.25">
      <c r="BP1724" s="2"/>
      <c r="BQ1724" s="2"/>
      <c r="BR1724" s="2"/>
      <c r="BS1724" s="2"/>
      <c r="BT1724" s="2"/>
      <c r="BU1724" s="2"/>
    </row>
    <row r="1725" spans="68:73" x14ac:dyDescent="0.25">
      <c r="BP1725" s="2"/>
      <c r="BQ1725" s="2"/>
      <c r="BR1725" s="2"/>
      <c r="BS1725" s="2"/>
      <c r="BT1725" s="2"/>
      <c r="BU1725" s="2"/>
    </row>
    <row r="1726" spans="68:73" x14ac:dyDescent="0.25">
      <c r="BP1726" s="2"/>
      <c r="BQ1726" s="2"/>
      <c r="BR1726" s="2"/>
      <c r="BS1726" s="2"/>
      <c r="BT1726" s="2"/>
      <c r="BU1726" s="2"/>
    </row>
    <row r="1727" spans="68:73" x14ac:dyDescent="0.25">
      <c r="BP1727" s="2"/>
      <c r="BQ1727" s="2"/>
      <c r="BR1727" s="2"/>
      <c r="BS1727" s="2"/>
      <c r="BT1727" s="2"/>
      <c r="BU1727" s="2"/>
    </row>
    <row r="1728" spans="68:73" x14ac:dyDescent="0.25">
      <c r="BP1728" s="2"/>
      <c r="BQ1728" s="2"/>
      <c r="BR1728" s="2"/>
      <c r="BS1728" s="2"/>
      <c r="BT1728" s="2"/>
      <c r="BU1728" s="2"/>
    </row>
    <row r="1729" spans="68:73" x14ac:dyDescent="0.25">
      <c r="BP1729" s="2"/>
      <c r="BQ1729" s="2"/>
      <c r="BR1729" s="2"/>
      <c r="BS1729" s="2"/>
      <c r="BT1729" s="2"/>
      <c r="BU1729" s="2"/>
    </row>
    <row r="1730" spans="68:73" x14ac:dyDescent="0.25">
      <c r="BP1730" s="2"/>
      <c r="BQ1730" s="2"/>
      <c r="BR1730" s="2"/>
      <c r="BS1730" s="2"/>
      <c r="BT1730" s="2"/>
      <c r="BU1730" s="2"/>
    </row>
    <row r="1731" spans="68:73" x14ac:dyDescent="0.25">
      <c r="BP1731" s="2"/>
      <c r="BQ1731" s="2"/>
      <c r="BR1731" s="2"/>
      <c r="BS1731" s="2"/>
      <c r="BT1731" s="2"/>
      <c r="BU1731" s="2"/>
    </row>
    <row r="1732" spans="68:73" x14ac:dyDescent="0.25">
      <c r="BP1732" s="2"/>
      <c r="BQ1732" s="2"/>
      <c r="BR1732" s="2"/>
      <c r="BS1732" s="2"/>
      <c r="BT1732" s="2"/>
      <c r="BU1732" s="2"/>
    </row>
    <row r="1733" spans="68:73" x14ac:dyDescent="0.25">
      <c r="BP1733" s="2"/>
      <c r="BQ1733" s="2"/>
      <c r="BR1733" s="2"/>
      <c r="BS1733" s="2"/>
      <c r="BT1733" s="2"/>
      <c r="BU1733" s="2"/>
    </row>
    <row r="1734" spans="68:73" x14ac:dyDescent="0.25">
      <c r="BP1734" s="2"/>
      <c r="BQ1734" s="2"/>
      <c r="BR1734" s="2"/>
      <c r="BS1734" s="2"/>
      <c r="BT1734" s="2"/>
      <c r="BU1734" s="2"/>
    </row>
    <row r="1735" spans="68:73" x14ac:dyDescent="0.25">
      <c r="BP1735" s="2"/>
      <c r="BQ1735" s="2"/>
      <c r="BR1735" s="2"/>
      <c r="BS1735" s="2"/>
      <c r="BT1735" s="2"/>
      <c r="BU1735" s="2"/>
    </row>
    <row r="1736" spans="68:73" x14ac:dyDescent="0.25">
      <c r="BP1736" s="2"/>
      <c r="BQ1736" s="2"/>
      <c r="BR1736" s="2"/>
      <c r="BS1736" s="2"/>
      <c r="BT1736" s="2"/>
      <c r="BU1736" s="2"/>
    </row>
    <row r="1737" spans="68:73" x14ac:dyDescent="0.25">
      <c r="BP1737" s="2"/>
      <c r="BQ1737" s="2"/>
      <c r="BR1737" s="2"/>
      <c r="BS1737" s="2"/>
      <c r="BT1737" s="2"/>
      <c r="BU1737" s="2"/>
    </row>
    <row r="1738" spans="68:73" x14ac:dyDescent="0.25">
      <c r="BP1738" s="2"/>
      <c r="BQ1738" s="2"/>
      <c r="BR1738" s="2"/>
      <c r="BS1738" s="2"/>
      <c r="BT1738" s="2"/>
      <c r="BU1738" s="2"/>
    </row>
    <row r="1739" spans="68:73" x14ac:dyDescent="0.25">
      <c r="BP1739" s="2"/>
      <c r="BQ1739" s="2"/>
      <c r="BR1739" s="2"/>
      <c r="BS1739" s="2"/>
      <c r="BT1739" s="2"/>
      <c r="BU1739" s="2"/>
    </row>
    <row r="1740" spans="68:73" x14ac:dyDescent="0.25">
      <c r="BP1740" s="2"/>
      <c r="BQ1740" s="2"/>
      <c r="BR1740" s="2"/>
      <c r="BS1740" s="2"/>
      <c r="BT1740" s="2"/>
      <c r="BU1740" s="2"/>
    </row>
    <row r="1741" spans="68:73" x14ac:dyDescent="0.25">
      <c r="BP1741" s="2"/>
      <c r="BQ1741" s="2"/>
      <c r="BR1741" s="2"/>
      <c r="BS1741" s="2"/>
      <c r="BT1741" s="2"/>
      <c r="BU1741" s="2"/>
    </row>
    <row r="1742" spans="68:73" x14ac:dyDescent="0.25">
      <c r="BP1742" s="2"/>
      <c r="BQ1742" s="2"/>
      <c r="BR1742" s="2"/>
      <c r="BS1742" s="2"/>
      <c r="BT1742" s="2"/>
      <c r="BU1742" s="2"/>
    </row>
    <row r="1743" spans="68:73" x14ac:dyDescent="0.25">
      <c r="BP1743" s="2"/>
      <c r="BQ1743" s="2"/>
      <c r="BR1743" s="2"/>
      <c r="BS1743" s="2"/>
      <c r="BT1743" s="2"/>
      <c r="BU1743" s="2"/>
    </row>
    <row r="1744" spans="68:73" x14ac:dyDescent="0.25">
      <c r="BP1744" s="2"/>
      <c r="BQ1744" s="2"/>
      <c r="BR1744" s="2"/>
      <c r="BS1744" s="2"/>
      <c r="BT1744" s="2"/>
      <c r="BU1744" s="2"/>
    </row>
    <row r="1745" spans="68:73" x14ac:dyDescent="0.25">
      <c r="BP1745" s="2"/>
      <c r="BQ1745" s="2"/>
      <c r="BR1745" s="2"/>
      <c r="BS1745" s="2"/>
      <c r="BT1745" s="2"/>
      <c r="BU1745" s="2"/>
    </row>
    <row r="1746" spans="68:73" x14ac:dyDescent="0.25">
      <c r="BP1746" s="2"/>
      <c r="BQ1746" s="2"/>
      <c r="BR1746" s="2"/>
      <c r="BS1746" s="2"/>
      <c r="BT1746" s="2"/>
      <c r="BU1746" s="2"/>
    </row>
    <row r="1747" spans="68:73" x14ac:dyDescent="0.25">
      <c r="BP1747" s="2"/>
      <c r="BQ1747" s="2"/>
      <c r="BR1747" s="2"/>
      <c r="BS1747" s="2"/>
      <c r="BT1747" s="2"/>
      <c r="BU1747" s="2"/>
    </row>
    <row r="1748" spans="68:73" x14ac:dyDescent="0.25">
      <c r="BP1748" s="2"/>
      <c r="BQ1748" s="2"/>
      <c r="BR1748" s="2"/>
      <c r="BS1748" s="2"/>
      <c r="BT1748" s="2"/>
      <c r="BU1748" s="2"/>
    </row>
    <row r="1749" spans="68:73" x14ac:dyDescent="0.25">
      <c r="BP1749" s="2"/>
      <c r="BQ1749" s="2"/>
      <c r="BR1749" s="2"/>
      <c r="BS1749" s="2"/>
      <c r="BT1749" s="2"/>
      <c r="BU1749" s="2"/>
    </row>
    <row r="1750" spans="68:73" x14ac:dyDescent="0.25">
      <c r="BP1750" s="2"/>
      <c r="BQ1750" s="2"/>
      <c r="BR1750" s="2"/>
      <c r="BS1750" s="2"/>
      <c r="BT1750" s="2"/>
      <c r="BU1750" s="2"/>
    </row>
    <row r="1751" spans="68:73" x14ac:dyDescent="0.25">
      <c r="BP1751" s="2"/>
      <c r="BQ1751" s="2"/>
      <c r="BR1751" s="2"/>
      <c r="BS1751" s="2"/>
      <c r="BT1751" s="2"/>
      <c r="BU1751" s="2"/>
    </row>
    <row r="1752" spans="68:73" x14ac:dyDescent="0.25">
      <c r="BP1752" s="2"/>
      <c r="BQ1752" s="2"/>
      <c r="BR1752" s="2"/>
      <c r="BS1752" s="2"/>
      <c r="BT1752" s="2"/>
      <c r="BU1752" s="2"/>
    </row>
    <row r="1753" spans="68:73" x14ac:dyDescent="0.25">
      <c r="BP1753" s="2"/>
      <c r="BQ1753" s="2"/>
      <c r="BR1753" s="2"/>
      <c r="BS1753" s="2"/>
      <c r="BT1753" s="2"/>
      <c r="BU1753" s="2"/>
    </row>
    <row r="1754" spans="68:73" x14ac:dyDescent="0.25">
      <c r="BP1754" s="2"/>
      <c r="BQ1754" s="2"/>
      <c r="BR1754" s="2"/>
      <c r="BS1754" s="2"/>
      <c r="BT1754" s="2"/>
      <c r="BU1754" s="2"/>
    </row>
    <row r="1755" spans="68:73" x14ac:dyDescent="0.25">
      <c r="BP1755" s="2"/>
      <c r="BQ1755" s="2"/>
      <c r="BR1755" s="2"/>
      <c r="BS1755" s="2"/>
      <c r="BT1755" s="2"/>
      <c r="BU1755" s="2"/>
    </row>
    <row r="1756" spans="68:73" x14ac:dyDescent="0.25">
      <c r="BP1756" s="2"/>
      <c r="BQ1756" s="2"/>
      <c r="BR1756" s="2"/>
      <c r="BS1756" s="2"/>
      <c r="BT1756" s="2"/>
      <c r="BU1756" s="2"/>
    </row>
    <row r="1757" spans="68:73" x14ac:dyDescent="0.25">
      <c r="BP1757" s="2"/>
      <c r="BQ1757" s="2"/>
      <c r="BR1757" s="2"/>
      <c r="BS1757" s="2"/>
      <c r="BT1757" s="2"/>
      <c r="BU1757" s="2"/>
    </row>
    <row r="1758" spans="68:73" x14ac:dyDescent="0.25">
      <c r="BP1758" s="2"/>
      <c r="BQ1758" s="2"/>
      <c r="BR1758" s="2"/>
      <c r="BS1758" s="2"/>
      <c r="BT1758" s="2"/>
      <c r="BU1758" s="2"/>
    </row>
    <row r="1759" spans="68:73" x14ac:dyDescent="0.25">
      <c r="BP1759" s="2"/>
      <c r="BQ1759" s="2"/>
      <c r="BR1759" s="2"/>
      <c r="BS1759" s="2"/>
      <c r="BT1759" s="2"/>
      <c r="BU1759" s="2"/>
    </row>
    <row r="1760" spans="68:73" x14ac:dyDescent="0.25">
      <c r="BP1760" s="2"/>
      <c r="BQ1760" s="2"/>
      <c r="BR1760" s="2"/>
      <c r="BS1760" s="2"/>
      <c r="BT1760" s="2"/>
      <c r="BU1760" s="2"/>
    </row>
    <row r="1761" spans="68:73" x14ac:dyDescent="0.25">
      <c r="BP1761" s="2"/>
      <c r="BQ1761" s="2"/>
      <c r="BR1761" s="2"/>
      <c r="BS1761" s="2"/>
      <c r="BT1761" s="2"/>
      <c r="BU1761" s="2"/>
    </row>
    <row r="1762" spans="68:73" x14ac:dyDescent="0.25">
      <c r="BP1762" s="2"/>
      <c r="BQ1762" s="2"/>
      <c r="BR1762" s="2"/>
      <c r="BS1762" s="2"/>
      <c r="BT1762" s="2"/>
      <c r="BU1762" s="2"/>
    </row>
    <row r="1763" spans="68:73" x14ac:dyDescent="0.25">
      <c r="BP1763" s="2"/>
      <c r="BQ1763" s="2"/>
      <c r="BR1763" s="2"/>
      <c r="BS1763" s="2"/>
      <c r="BT1763" s="2"/>
      <c r="BU1763" s="2"/>
    </row>
    <row r="1764" spans="68:73" x14ac:dyDescent="0.25">
      <c r="BP1764" s="2"/>
      <c r="BQ1764" s="2"/>
      <c r="BR1764" s="2"/>
      <c r="BS1764" s="2"/>
      <c r="BT1764" s="2"/>
      <c r="BU1764" s="2"/>
    </row>
    <row r="1765" spans="68:73" x14ac:dyDescent="0.25">
      <c r="BP1765" s="2"/>
      <c r="BQ1765" s="2"/>
      <c r="BR1765" s="2"/>
      <c r="BS1765" s="2"/>
      <c r="BT1765" s="2"/>
      <c r="BU1765" s="2"/>
    </row>
    <row r="1766" spans="68:73" x14ac:dyDescent="0.25">
      <c r="BP1766" s="2"/>
      <c r="BQ1766" s="2"/>
      <c r="BR1766" s="2"/>
      <c r="BS1766" s="2"/>
      <c r="BT1766" s="2"/>
      <c r="BU1766" s="2"/>
    </row>
    <row r="1767" spans="68:73" x14ac:dyDescent="0.25">
      <c r="BP1767" s="2"/>
      <c r="BQ1767" s="2"/>
      <c r="BR1767" s="2"/>
      <c r="BS1767" s="2"/>
      <c r="BT1767" s="2"/>
      <c r="BU1767" s="2"/>
    </row>
    <row r="1768" spans="68:73" x14ac:dyDescent="0.25">
      <c r="BP1768" s="2"/>
      <c r="BQ1768" s="2"/>
      <c r="BR1768" s="2"/>
      <c r="BS1768" s="2"/>
      <c r="BT1768" s="2"/>
      <c r="BU1768" s="2"/>
    </row>
    <row r="1769" spans="68:73" x14ac:dyDescent="0.25">
      <c r="BP1769" s="2"/>
      <c r="BQ1769" s="2"/>
      <c r="BR1769" s="2"/>
      <c r="BS1769" s="2"/>
      <c r="BT1769" s="2"/>
      <c r="BU1769" s="2"/>
    </row>
    <row r="1770" spans="68:73" x14ac:dyDescent="0.25">
      <c r="BP1770" s="2"/>
      <c r="BQ1770" s="2"/>
      <c r="BR1770" s="2"/>
      <c r="BS1770" s="2"/>
      <c r="BT1770" s="2"/>
      <c r="BU1770" s="2"/>
    </row>
    <row r="1771" spans="68:73" x14ac:dyDescent="0.25">
      <c r="BP1771" s="2"/>
      <c r="BQ1771" s="2"/>
      <c r="BR1771" s="2"/>
      <c r="BS1771" s="2"/>
      <c r="BT1771" s="2"/>
      <c r="BU1771" s="2"/>
    </row>
    <row r="1772" spans="68:73" x14ac:dyDescent="0.25">
      <c r="BP1772" s="2"/>
      <c r="BQ1772" s="2"/>
      <c r="BR1772" s="2"/>
      <c r="BS1772" s="2"/>
      <c r="BT1772" s="2"/>
      <c r="BU1772" s="2"/>
    </row>
    <row r="1773" spans="68:73" x14ac:dyDescent="0.25">
      <c r="BP1773" s="2"/>
      <c r="BQ1773" s="2"/>
      <c r="BR1773" s="2"/>
      <c r="BS1773" s="2"/>
      <c r="BT1773" s="2"/>
      <c r="BU1773" s="2"/>
    </row>
    <row r="1774" spans="68:73" x14ac:dyDescent="0.25">
      <c r="BP1774" s="2"/>
      <c r="BQ1774" s="2"/>
      <c r="BR1774" s="2"/>
      <c r="BS1774" s="2"/>
      <c r="BT1774" s="2"/>
      <c r="BU1774" s="2"/>
    </row>
    <row r="1775" spans="68:73" x14ac:dyDescent="0.25">
      <c r="BP1775" s="2"/>
      <c r="BQ1775" s="2"/>
      <c r="BR1775" s="2"/>
      <c r="BS1775" s="2"/>
      <c r="BT1775" s="2"/>
      <c r="BU1775" s="2"/>
    </row>
    <row r="1776" spans="68:73" x14ac:dyDescent="0.25">
      <c r="BP1776" s="2"/>
      <c r="BQ1776" s="2"/>
      <c r="BR1776" s="2"/>
      <c r="BS1776" s="2"/>
      <c r="BT1776" s="2"/>
      <c r="BU1776" s="2"/>
    </row>
    <row r="1777" spans="68:73" x14ac:dyDescent="0.25">
      <c r="BP1777" s="2"/>
      <c r="BQ1777" s="2"/>
      <c r="BR1777" s="2"/>
      <c r="BS1777" s="2"/>
      <c r="BT1777" s="2"/>
      <c r="BU1777" s="2"/>
    </row>
    <row r="1778" spans="68:73" x14ac:dyDescent="0.25">
      <c r="BP1778" s="2"/>
      <c r="BQ1778" s="2"/>
      <c r="BR1778" s="2"/>
      <c r="BS1778" s="2"/>
      <c r="BT1778" s="2"/>
      <c r="BU1778" s="2"/>
    </row>
    <row r="1779" spans="68:73" x14ac:dyDescent="0.25">
      <c r="BP1779" s="2"/>
      <c r="BQ1779" s="2"/>
      <c r="BR1779" s="2"/>
      <c r="BS1779" s="2"/>
      <c r="BT1779" s="2"/>
      <c r="BU1779" s="2"/>
    </row>
    <row r="1780" spans="68:73" x14ac:dyDescent="0.25">
      <c r="BP1780" s="2"/>
      <c r="BQ1780" s="2"/>
      <c r="BR1780" s="2"/>
      <c r="BS1780" s="2"/>
      <c r="BT1780" s="2"/>
      <c r="BU1780" s="2"/>
    </row>
    <row r="1781" spans="68:73" x14ac:dyDescent="0.25">
      <c r="BP1781" s="2"/>
      <c r="BQ1781" s="2"/>
      <c r="BR1781" s="2"/>
      <c r="BS1781" s="2"/>
      <c r="BT1781" s="2"/>
      <c r="BU1781" s="2"/>
    </row>
    <row r="1782" spans="68:73" x14ac:dyDescent="0.25">
      <c r="BP1782" s="2"/>
      <c r="BQ1782" s="2"/>
      <c r="BR1782" s="2"/>
      <c r="BS1782" s="2"/>
      <c r="BT1782" s="2"/>
      <c r="BU1782" s="2"/>
    </row>
    <row r="1783" spans="68:73" x14ac:dyDescent="0.25">
      <c r="BP1783" s="2"/>
      <c r="BQ1783" s="2"/>
      <c r="BR1783" s="2"/>
      <c r="BS1783" s="2"/>
      <c r="BT1783" s="2"/>
      <c r="BU1783" s="2"/>
    </row>
    <row r="1784" spans="68:73" x14ac:dyDescent="0.25">
      <c r="BP1784" s="2"/>
      <c r="BQ1784" s="2"/>
      <c r="BR1784" s="2"/>
      <c r="BS1784" s="2"/>
      <c r="BT1784" s="2"/>
      <c r="BU1784" s="2"/>
    </row>
    <row r="1785" spans="68:73" x14ac:dyDescent="0.25">
      <c r="BP1785" s="2"/>
      <c r="BQ1785" s="2"/>
      <c r="BR1785" s="2"/>
      <c r="BS1785" s="2"/>
      <c r="BT1785" s="2"/>
      <c r="BU1785" s="2"/>
    </row>
    <row r="1786" spans="68:73" x14ac:dyDescent="0.25">
      <c r="BP1786" s="2"/>
      <c r="BQ1786" s="2"/>
      <c r="BR1786" s="2"/>
      <c r="BS1786" s="2"/>
      <c r="BT1786" s="2"/>
      <c r="BU1786" s="2"/>
    </row>
    <row r="1787" spans="68:73" x14ac:dyDescent="0.25">
      <c r="BP1787" s="2"/>
      <c r="BQ1787" s="2"/>
      <c r="BR1787" s="2"/>
      <c r="BS1787" s="2"/>
      <c r="BT1787" s="2"/>
      <c r="BU1787" s="2"/>
    </row>
    <row r="1788" spans="68:73" x14ac:dyDescent="0.25">
      <c r="BP1788" s="2"/>
      <c r="BQ1788" s="2"/>
      <c r="BR1788" s="2"/>
      <c r="BS1788" s="2"/>
      <c r="BT1788" s="2"/>
      <c r="BU1788" s="2"/>
    </row>
    <row r="1789" spans="68:73" x14ac:dyDescent="0.25">
      <c r="BP1789" s="2"/>
      <c r="BQ1789" s="2"/>
      <c r="BR1789" s="2"/>
      <c r="BS1789" s="2"/>
      <c r="BT1789" s="2"/>
      <c r="BU1789" s="2"/>
    </row>
    <row r="1790" spans="68:73" x14ac:dyDescent="0.25">
      <c r="BP1790" s="2"/>
      <c r="BQ1790" s="2"/>
      <c r="BR1790" s="2"/>
      <c r="BS1790" s="2"/>
      <c r="BT1790" s="2"/>
      <c r="BU1790" s="2"/>
    </row>
    <row r="1791" spans="68:73" x14ac:dyDescent="0.25">
      <c r="BP1791" s="2"/>
      <c r="BQ1791" s="2"/>
      <c r="BR1791" s="2"/>
      <c r="BS1791" s="2"/>
      <c r="BT1791" s="2"/>
      <c r="BU1791" s="2"/>
    </row>
    <row r="1792" spans="68:73" x14ac:dyDescent="0.25">
      <c r="BP1792" s="2"/>
      <c r="BQ1792" s="2"/>
      <c r="BR1792" s="2"/>
      <c r="BS1792" s="2"/>
      <c r="BT1792" s="2"/>
      <c r="BU1792" s="2"/>
    </row>
    <row r="1793" spans="68:73" x14ac:dyDescent="0.25">
      <c r="BP1793" s="2"/>
      <c r="BQ1793" s="2"/>
      <c r="BR1793" s="2"/>
      <c r="BS1793" s="2"/>
      <c r="BT1793" s="2"/>
      <c r="BU1793" s="2"/>
    </row>
    <row r="1794" spans="68:73" x14ac:dyDescent="0.25">
      <c r="BP1794" s="2"/>
      <c r="BQ1794" s="2"/>
      <c r="BR1794" s="2"/>
      <c r="BS1794" s="2"/>
      <c r="BT1794" s="2"/>
      <c r="BU1794" s="2"/>
    </row>
    <row r="1795" spans="68:73" x14ac:dyDescent="0.25">
      <c r="BP1795" s="2"/>
      <c r="BQ1795" s="2"/>
      <c r="BR1795" s="2"/>
      <c r="BS1795" s="2"/>
      <c r="BT1795" s="2"/>
      <c r="BU1795" s="2"/>
    </row>
    <row r="1796" spans="68:73" x14ac:dyDescent="0.25">
      <c r="BP1796" s="2"/>
      <c r="BQ1796" s="2"/>
      <c r="BR1796" s="2"/>
      <c r="BS1796" s="2"/>
      <c r="BT1796" s="2"/>
      <c r="BU1796" s="2"/>
    </row>
    <row r="1797" spans="68:73" x14ac:dyDescent="0.25">
      <c r="BP1797" s="2"/>
      <c r="BQ1797" s="2"/>
      <c r="BR1797" s="2"/>
      <c r="BS1797" s="2"/>
      <c r="BT1797" s="2"/>
      <c r="BU1797" s="2"/>
    </row>
    <row r="1798" spans="68:73" x14ac:dyDescent="0.25">
      <c r="BP1798" s="2"/>
      <c r="BQ1798" s="2"/>
      <c r="BR1798" s="2"/>
      <c r="BS1798" s="2"/>
      <c r="BT1798" s="2"/>
      <c r="BU1798" s="2"/>
    </row>
    <row r="1799" spans="68:73" x14ac:dyDescent="0.25">
      <c r="BP1799" s="2"/>
      <c r="BQ1799" s="2"/>
      <c r="BR1799" s="2"/>
      <c r="BS1799" s="2"/>
      <c r="BT1799" s="2"/>
      <c r="BU1799" s="2"/>
    </row>
    <row r="1800" spans="68:73" x14ac:dyDescent="0.25">
      <c r="BP1800" s="2"/>
      <c r="BQ1800" s="2"/>
      <c r="BR1800" s="2"/>
      <c r="BS1800" s="2"/>
      <c r="BT1800" s="2"/>
      <c r="BU1800" s="2"/>
    </row>
    <row r="1801" spans="68:73" x14ac:dyDescent="0.25">
      <c r="BP1801" s="2"/>
      <c r="BQ1801" s="2"/>
      <c r="BR1801" s="2"/>
      <c r="BS1801" s="2"/>
      <c r="BT1801" s="2"/>
      <c r="BU1801" s="2"/>
    </row>
    <row r="1802" spans="68:73" x14ac:dyDescent="0.25">
      <c r="BP1802" s="2"/>
      <c r="BQ1802" s="2"/>
      <c r="BR1802" s="2"/>
      <c r="BS1802" s="2"/>
      <c r="BT1802" s="2"/>
      <c r="BU1802" s="2"/>
    </row>
    <row r="1803" spans="68:73" x14ac:dyDescent="0.25">
      <c r="BP1803" s="2"/>
      <c r="BQ1803" s="2"/>
      <c r="BR1803" s="2"/>
      <c r="BS1803" s="2"/>
      <c r="BT1803" s="2"/>
      <c r="BU1803" s="2"/>
    </row>
    <row r="1804" spans="68:73" x14ac:dyDescent="0.25">
      <c r="BP1804" s="2"/>
      <c r="BQ1804" s="2"/>
      <c r="BR1804" s="2"/>
      <c r="BS1804" s="2"/>
      <c r="BT1804" s="2"/>
      <c r="BU1804" s="2"/>
    </row>
    <row r="1805" spans="68:73" x14ac:dyDescent="0.25">
      <c r="BP1805" s="2"/>
      <c r="BQ1805" s="2"/>
      <c r="BR1805" s="2"/>
      <c r="BS1805" s="2"/>
      <c r="BT1805" s="2"/>
      <c r="BU1805" s="2"/>
    </row>
    <row r="1806" spans="68:73" x14ac:dyDescent="0.25">
      <c r="BP1806" s="2"/>
      <c r="BQ1806" s="2"/>
      <c r="BR1806" s="2"/>
      <c r="BS1806" s="2"/>
      <c r="BT1806" s="2"/>
      <c r="BU1806" s="2"/>
    </row>
    <row r="1807" spans="68:73" x14ac:dyDescent="0.25">
      <c r="BP1807" s="2"/>
      <c r="BQ1807" s="2"/>
      <c r="BR1807" s="2"/>
      <c r="BS1807" s="2"/>
      <c r="BT1807" s="2"/>
      <c r="BU1807" s="2"/>
    </row>
    <row r="1808" spans="68:73" x14ac:dyDescent="0.25">
      <c r="BP1808" s="2"/>
      <c r="BQ1808" s="2"/>
      <c r="BR1808" s="2"/>
      <c r="BS1808" s="2"/>
      <c r="BT1808" s="2"/>
      <c r="BU1808" s="2"/>
    </row>
    <row r="1809" spans="68:73" x14ac:dyDescent="0.25">
      <c r="BP1809" s="2"/>
      <c r="BQ1809" s="2"/>
      <c r="BR1809" s="2"/>
      <c r="BS1809" s="2"/>
      <c r="BT1809" s="2"/>
      <c r="BU1809" s="2"/>
    </row>
    <row r="1810" spans="68:73" x14ac:dyDescent="0.25">
      <c r="BP1810" s="2"/>
      <c r="BQ1810" s="2"/>
      <c r="BR1810" s="2"/>
      <c r="BS1810" s="2"/>
      <c r="BT1810" s="2"/>
      <c r="BU1810" s="2"/>
    </row>
    <row r="1811" spans="68:73" x14ac:dyDescent="0.25">
      <c r="BP1811" s="2"/>
      <c r="BQ1811" s="2"/>
      <c r="BR1811" s="2"/>
      <c r="BS1811" s="2"/>
      <c r="BT1811" s="2"/>
      <c r="BU1811" s="2"/>
    </row>
    <row r="1812" spans="68:73" x14ac:dyDescent="0.25">
      <c r="BP1812" s="2"/>
      <c r="BQ1812" s="2"/>
      <c r="BR1812" s="2"/>
      <c r="BS1812" s="2"/>
      <c r="BT1812" s="2"/>
      <c r="BU1812" s="2"/>
    </row>
    <row r="1813" spans="68:73" x14ac:dyDescent="0.25">
      <c r="BP1813" s="2"/>
      <c r="BQ1813" s="2"/>
      <c r="BR1813" s="2"/>
      <c r="BS1813" s="2"/>
      <c r="BT1813" s="2"/>
      <c r="BU1813" s="2"/>
    </row>
    <row r="1814" spans="68:73" x14ac:dyDescent="0.25">
      <c r="BP1814" s="2"/>
      <c r="BQ1814" s="2"/>
      <c r="BR1814" s="2"/>
      <c r="BS1814" s="2"/>
      <c r="BT1814" s="2"/>
      <c r="BU1814" s="2"/>
    </row>
    <row r="1815" spans="68:73" x14ac:dyDescent="0.25">
      <c r="BP1815" s="2"/>
      <c r="BQ1815" s="2"/>
      <c r="BR1815" s="2"/>
      <c r="BS1815" s="2"/>
      <c r="BT1815" s="2"/>
      <c r="BU1815" s="2"/>
    </row>
    <row r="1816" spans="68:73" x14ac:dyDescent="0.25">
      <c r="BP1816" s="2"/>
      <c r="BQ1816" s="2"/>
      <c r="BR1816" s="2"/>
      <c r="BS1816" s="2"/>
      <c r="BT1816" s="2"/>
      <c r="BU1816" s="2"/>
    </row>
    <row r="1817" spans="68:73" x14ac:dyDescent="0.25">
      <c r="BP1817" s="2"/>
      <c r="BQ1817" s="2"/>
      <c r="BR1817" s="2"/>
      <c r="BS1817" s="2"/>
      <c r="BT1817" s="2"/>
      <c r="BU1817" s="2"/>
    </row>
    <row r="1818" spans="68:73" x14ac:dyDescent="0.25">
      <c r="BP1818" s="2"/>
      <c r="BQ1818" s="2"/>
      <c r="BR1818" s="2"/>
      <c r="BS1818" s="2"/>
      <c r="BT1818" s="2"/>
      <c r="BU1818" s="2"/>
    </row>
    <row r="1819" spans="68:73" x14ac:dyDescent="0.25">
      <c r="BP1819" s="2"/>
      <c r="BQ1819" s="2"/>
      <c r="BR1819" s="2"/>
      <c r="BS1819" s="2"/>
      <c r="BT1819" s="2"/>
      <c r="BU1819" s="2"/>
    </row>
    <row r="1820" spans="68:73" x14ac:dyDescent="0.25">
      <c r="BP1820" s="2"/>
      <c r="BQ1820" s="2"/>
      <c r="BR1820" s="2"/>
      <c r="BS1820" s="2"/>
      <c r="BT1820" s="2"/>
      <c r="BU1820" s="2"/>
    </row>
    <row r="1821" spans="68:73" x14ac:dyDescent="0.25">
      <c r="BP1821" s="2"/>
      <c r="BQ1821" s="2"/>
      <c r="BR1821" s="2"/>
      <c r="BS1821" s="2"/>
      <c r="BT1821" s="2"/>
      <c r="BU1821" s="2"/>
    </row>
    <row r="1822" spans="68:73" x14ac:dyDescent="0.25">
      <c r="BP1822" s="2"/>
      <c r="BQ1822" s="2"/>
      <c r="BR1822" s="2"/>
      <c r="BS1822" s="2"/>
      <c r="BT1822" s="2"/>
      <c r="BU1822" s="2"/>
    </row>
    <row r="1823" spans="68:73" x14ac:dyDescent="0.25">
      <c r="BP1823" s="2"/>
      <c r="BQ1823" s="2"/>
      <c r="BR1823" s="2"/>
      <c r="BS1823" s="2"/>
      <c r="BT1823" s="2"/>
      <c r="BU1823" s="2"/>
    </row>
    <row r="1824" spans="68:73" x14ac:dyDescent="0.25">
      <c r="BP1824" s="2"/>
      <c r="BQ1824" s="2"/>
      <c r="BR1824" s="2"/>
      <c r="BS1824" s="2"/>
      <c r="BT1824" s="2"/>
      <c r="BU1824" s="2"/>
    </row>
    <row r="1825" spans="68:73" x14ac:dyDescent="0.25">
      <c r="BP1825" s="2"/>
      <c r="BQ1825" s="2"/>
      <c r="BR1825" s="2"/>
      <c r="BS1825" s="2"/>
      <c r="BT1825" s="2"/>
      <c r="BU1825" s="2"/>
    </row>
    <row r="1826" spans="68:73" x14ac:dyDescent="0.25">
      <c r="BP1826" s="2"/>
      <c r="BQ1826" s="2"/>
      <c r="BR1826" s="2"/>
      <c r="BS1826" s="2"/>
      <c r="BT1826" s="2"/>
      <c r="BU1826" s="2"/>
    </row>
    <row r="1827" spans="68:73" x14ac:dyDescent="0.25">
      <c r="BP1827" s="2"/>
      <c r="BQ1827" s="2"/>
      <c r="BR1827" s="2"/>
      <c r="BS1827" s="2"/>
      <c r="BT1827" s="2"/>
      <c r="BU1827" s="2"/>
    </row>
    <row r="1828" spans="68:73" x14ac:dyDescent="0.25">
      <c r="BP1828" s="2"/>
      <c r="BQ1828" s="2"/>
      <c r="BR1828" s="2"/>
      <c r="BS1828" s="2"/>
      <c r="BT1828" s="2"/>
      <c r="BU1828" s="2"/>
    </row>
    <row r="1829" spans="68:73" x14ac:dyDescent="0.25">
      <c r="BP1829" s="2"/>
      <c r="BQ1829" s="2"/>
      <c r="BR1829" s="2"/>
      <c r="BS1829" s="2"/>
      <c r="BT1829" s="2"/>
      <c r="BU1829" s="2"/>
    </row>
    <row r="1830" spans="68:73" x14ac:dyDescent="0.25">
      <c r="BP1830" s="2"/>
      <c r="BQ1830" s="2"/>
      <c r="BR1830" s="2"/>
      <c r="BS1830" s="2"/>
      <c r="BT1830" s="2"/>
      <c r="BU1830" s="2"/>
    </row>
    <row r="1831" spans="68:73" x14ac:dyDescent="0.25">
      <c r="BP1831" s="2"/>
      <c r="BQ1831" s="2"/>
      <c r="BR1831" s="2"/>
      <c r="BS1831" s="2"/>
      <c r="BT1831" s="2"/>
      <c r="BU1831" s="2"/>
    </row>
    <row r="1832" spans="68:73" x14ac:dyDescent="0.25">
      <c r="BP1832" s="2"/>
      <c r="BQ1832" s="2"/>
      <c r="BR1832" s="2"/>
      <c r="BS1832" s="2"/>
      <c r="BT1832" s="2"/>
      <c r="BU1832" s="2"/>
    </row>
    <row r="1833" spans="68:73" x14ac:dyDescent="0.25">
      <c r="BP1833" s="2"/>
      <c r="BQ1833" s="2"/>
      <c r="BR1833" s="2"/>
      <c r="BS1833" s="2"/>
      <c r="BT1833" s="2"/>
      <c r="BU1833" s="2"/>
    </row>
    <row r="1834" spans="68:73" x14ac:dyDescent="0.25">
      <c r="BP1834" s="2"/>
      <c r="BQ1834" s="2"/>
      <c r="BR1834" s="2"/>
      <c r="BS1834" s="2"/>
      <c r="BT1834" s="2"/>
      <c r="BU1834" s="2"/>
    </row>
    <row r="1835" spans="68:73" x14ac:dyDescent="0.25">
      <c r="BP1835" s="2"/>
      <c r="BQ1835" s="2"/>
      <c r="BR1835" s="2"/>
      <c r="BS1835" s="2"/>
      <c r="BT1835" s="2"/>
      <c r="BU1835" s="2"/>
    </row>
    <row r="1836" spans="68:73" x14ac:dyDescent="0.25">
      <c r="BP1836" s="2"/>
      <c r="BQ1836" s="2"/>
      <c r="BR1836" s="2"/>
      <c r="BS1836" s="2"/>
      <c r="BT1836" s="2"/>
      <c r="BU1836" s="2"/>
    </row>
    <row r="1837" spans="68:73" x14ac:dyDescent="0.25">
      <c r="BP1837" s="2"/>
      <c r="BQ1837" s="2"/>
      <c r="BR1837" s="2"/>
      <c r="BS1837" s="2"/>
      <c r="BT1837" s="2"/>
      <c r="BU1837" s="2"/>
    </row>
    <row r="1838" spans="68:73" x14ac:dyDescent="0.25">
      <c r="BP1838" s="2"/>
      <c r="BQ1838" s="2"/>
      <c r="BR1838" s="2"/>
      <c r="BS1838" s="2"/>
      <c r="BT1838" s="2"/>
      <c r="BU1838" s="2"/>
    </row>
    <row r="1839" spans="68:73" x14ac:dyDescent="0.25">
      <c r="BP1839" s="2"/>
      <c r="BQ1839" s="2"/>
      <c r="BR1839" s="2"/>
      <c r="BS1839" s="2"/>
      <c r="BT1839" s="2"/>
      <c r="BU1839" s="2"/>
    </row>
    <row r="1840" spans="68:73" x14ac:dyDescent="0.25">
      <c r="BP1840" s="2"/>
      <c r="BQ1840" s="2"/>
      <c r="BR1840" s="2"/>
      <c r="BS1840" s="2"/>
      <c r="BT1840" s="2"/>
      <c r="BU1840" s="2"/>
    </row>
    <row r="1841" spans="68:73" x14ac:dyDescent="0.25">
      <c r="BP1841" s="2"/>
      <c r="BQ1841" s="2"/>
      <c r="BR1841" s="2"/>
      <c r="BS1841" s="2"/>
      <c r="BT1841" s="2"/>
      <c r="BU1841" s="2"/>
    </row>
    <row r="1842" spans="68:73" x14ac:dyDescent="0.25">
      <c r="BP1842" s="2"/>
      <c r="BQ1842" s="2"/>
      <c r="BR1842" s="2"/>
      <c r="BS1842" s="2"/>
      <c r="BT1842" s="2"/>
      <c r="BU1842" s="2"/>
    </row>
    <row r="1843" spans="68:73" x14ac:dyDescent="0.25">
      <c r="BP1843" s="2"/>
      <c r="BQ1843" s="2"/>
      <c r="BR1843" s="2"/>
      <c r="BS1843" s="2"/>
      <c r="BT1843" s="2"/>
      <c r="BU1843" s="2"/>
    </row>
    <row r="1844" spans="68:73" x14ac:dyDescent="0.25">
      <c r="BP1844" s="2"/>
      <c r="BQ1844" s="2"/>
      <c r="BR1844" s="2"/>
      <c r="BS1844" s="2"/>
      <c r="BT1844" s="2"/>
      <c r="BU1844" s="2"/>
    </row>
    <row r="1845" spans="68:73" x14ac:dyDescent="0.25">
      <c r="BP1845" s="2"/>
      <c r="BQ1845" s="2"/>
      <c r="BR1845" s="2"/>
      <c r="BS1845" s="2"/>
      <c r="BT1845" s="2"/>
      <c r="BU1845" s="2"/>
    </row>
    <row r="1846" spans="68:73" x14ac:dyDescent="0.25">
      <c r="BP1846" s="2"/>
      <c r="BQ1846" s="2"/>
      <c r="BR1846" s="2"/>
      <c r="BS1846" s="2"/>
      <c r="BT1846" s="2"/>
      <c r="BU1846" s="2"/>
    </row>
    <row r="1847" spans="68:73" x14ac:dyDescent="0.25">
      <c r="BP1847" s="2"/>
      <c r="BQ1847" s="2"/>
      <c r="BR1847" s="2"/>
      <c r="BS1847" s="2"/>
      <c r="BT1847" s="2"/>
      <c r="BU1847" s="2"/>
    </row>
    <row r="1848" spans="68:73" x14ac:dyDescent="0.25">
      <c r="BP1848" s="2"/>
      <c r="BQ1848" s="2"/>
      <c r="BR1848" s="2"/>
      <c r="BS1848" s="2"/>
      <c r="BT1848" s="2"/>
      <c r="BU1848" s="2"/>
    </row>
    <row r="1849" spans="68:73" x14ac:dyDescent="0.25">
      <c r="BP1849" s="2"/>
      <c r="BQ1849" s="2"/>
      <c r="BR1849" s="2"/>
      <c r="BS1849" s="2"/>
      <c r="BT1849" s="2"/>
      <c r="BU1849" s="2"/>
    </row>
    <row r="1850" spans="68:73" x14ac:dyDescent="0.25">
      <c r="BP1850" s="2"/>
      <c r="BQ1850" s="2"/>
      <c r="BR1850" s="2"/>
      <c r="BS1850" s="2"/>
      <c r="BT1850" s="2"/>
      <c r="BU1850" s="2"/>
    </row>
    <row r="1851" spans="68:73" x14ac:dyDescent="0.25">
      <c r="BP1851" s="2"/>
      <c r="BQ1851" s="2"/>
      <c r="BR1851" s="2"/>
      <c r="BS1851" s="2"/>
      <c r="BT1851" s="2"/>
      <c r="BU1851" s="2"/>
    </row>
    <row r="1852" spans="68:73" x14ac:dyDescent="0.25">
      <c r="BP1852" s="2"/>
      <c r="BQ1852" s="2"/>
      <c r="BR1852" s="2"/>
      <c r="BS1852" s="2"/>
      <c r="BT1852" s="2"/>
      <c r="BU1852" s="2"/>
    </row>
    <row r="1853" spans="68:73" x14ac:dyDescent="0.25">
      <c r="BP1853" s="2"/>
      <c r="BQ1853" s="2"/>
      <c r="BR1853" s="2"/>
      <c r="BS1853" s="2"/>
      <c r="BT1853" s="2"/>
      <c r="BU1853" s="2"/>
    </row>
    <row r="1854" spans="68:73" x14ac:dyDescent="0.25">
      <c r="BP1854" s="2"/>
      <c r="BQ1854" s="2"/>
      <c r="BR1854" s="2"/>
      <c r="BS1854" s="2"/>
      <c r="BT1854" s="2"/>
      <c r="BU1854" s="2"/>
    </row>
    <row r="1855" spans="68:73" x14ac:dyDescent="0.25">
      <c r="BP1855" s="2"/>
      <c r="BQ1855" s="2"/>
      <c r="BR1855" s="2"/>
      <c r="BS1855" s="2"/>
      <c r="BT1855" s="2"/>
      <c r="BU1855" s="2"/>
    </row>
    <row r="1856" spans="68:73" x14ac:dyDescent="0.25">
      <c r="BP1856" s="2"/>
      <c r="BQ1856" s="2"/>
      <c r="BR1856" s="2"/>
      <c r="BS1856" s="2"/>
      <c r="BT1856" s="2"/>
      <c r="BU1856" s="2"/>
    </row>
    <row r="1857" spans="68:73" x14ac:dyDescent="0.25">
      <c r="BP1857" s="2"/>
      <c r="BQ1857" s="2"/>
      <c r="BR1857" s="2"/>
      <c r="BS1857" s="2"/>
      <c r="BT1857" s="2"/>
      <c r="BU1857" s="2"/>
    </row>
    <row r="1858" spans="68:73" x14ac:dyDescent="0.25">
      <c r="BP1858" s="2"/>
      <c r="BQ1858" s="2"/>
      <c r="BR1858" s="2"/>
      <c r="BS1858" s="2"/>
      <c r="BT1858" s="2"/>
      <c r="BU1858" s="2"/>
    </row>
    <row r="1859" spans="68:73" x14ac:dyDescent="0.25">
      <c r="BP1859" s="2"/>
      <c r="BQ1859" s="2"/>
      <c r="BR1859" s="2"/>
      <c r="BS1859" s="2"/>
      <c r="BT1859" s="2"/>
      <c r="BU1859" s="2"/>
    </row>
    <row r="1860" spans="68:73" x14ac:dyDescent="0.25">
      <c r="BP1860" s="2"/>
      <c r="BQ1860" s="2"/>
      <c r="BR1860" s="2"/>
      <c r="BS1860" s="2"/>
      <c r="BT1860" s="2"/>
      <c r="BU1860" s="2"/>
    </row>
    <row r="1861" spans="68:73" x14ac:dyDescent="0.25">
      <c r="BP1861" s="2"/>
      <c r="BQ1861" s="2"/>
      <c r="BR1861" s="2"/>
      <c r="BS1861" s="2"/>
      <c r="BT1861" s="2"/>
      <c r="BU1861" s="2"/>
    </row>
    <row r="1862" spans="68:73" x14ac:dyDescent="0.25">
      <c r="BP1862" s="2"/>
      <c r="BQ1862" s="2"/>
      <c r="BR1862" s="2"/>
      <c r="BS1862" s="2"/>
      <c r="BT1862" s="2"/>
      <c r="BU1862" s="2"/>
    </row>
    <row r="1863" spans="68:73" x14ac:dyDescent="0.25">
      <c r="BP1863" s="2"/>
      <c r="BQ1863" s="2"/>
      <c r="BR1863" s="2"/>
      <c r="BS1863" s="2"/>
      <c r="BT1863" s="2"/>
      <c r="BU1863" s="2"/>
    </row>
    <row r="1864" spans="68:73" x14ac:dyDescent="0.25">
      <c r="BP1864" s="2"/>
      <c r="BQ1864" s="2"/>
      <c r="BR1864" s="2"/>
      <c r="BS1864" s="2"/>
      <c r="BT1864" s="2"/>
      <c r="BU1864" s="2"/>
    </row>
    <row r="1865" spans="68:73" x14ac:dyDescent="0.25">
      <c r="BP1865" s="2"/>
      <c r="BQ1865" s="2"/>
      <c r="BR1865" s="2"/>
      <c r="BS1865" s="2"/>
      <c r="BT1865" s="2"/>
      <c r="BU1865" s="2"/>
    </row>
    <row r="1866" spans="68:73" x14ac:dyDescent="0.25">
      <c r="BP1866" s="2"/>
      <c r="BQ1866" s="2"/>
      <c r="BR1866" s="2"/>
      <c r="BS1866" s="2"/>
      <c r="BT1866" s="2"/>
      <c r="BU1866" s="2"/>
    </row>
    <row r="1867" spans="68:73" x14ac:dyDescent="0.25">
      <c r="BP1867" s="2"/>
      <c r="BQ1867" s="2"/>
      <c r="BR1867" s="2"/>
      <c r="BS1867" s="2"/>
      <c r="BT1867" s="2"/>
      <c r="BU1867" s="2"/>
    </row>
    <row r="1868" spans="68:73" x14ac:dyDescent="0.25">
      <c r="BP1868" s="2"/>
      <c r="BQ1868" s="2"/>
      <c r="BR1868" s="2"/>
      <c r="BS1868" s="2"/>
      <c r="BT1868" s="2"/>
      <c r="BU1868" s="2"/>
    </row>
    <row r="1869" spans="68:73" x14ac:dyDescent="0.25">
      <c r="BP1869" s="2"/>
      <c r="BQ1869" s="2"/>
      <c r="BR1869" s="2"/>
      <c r="BS1869" s="2"/>
      <c r="BT1869" s="2"/>
      <c r="BU1869" s="2"/>
    </row>
    <row r="1870" spans="68:73" x14ac:dyDescent="0.25">
      <c r="BP1870" s="2"/>
      <c r="BQ1870" s="2"/>
      <c r="BR1870" s="2"/>
      <c r="BS1870" s="2"/>
      <c r="BT1870" s="2"/>
      <c r="BU1870" s="2"/>
    </row>
    <row r="1871" spans="68:73" x14ac:dyDescent="0.25">
      <c r="BP1871" s="2"/>
      <c r="BQ1871" s="2"/>
      <c r="BR1871" s="2"/>
      <c r="BS1871" s="2"/>
      <c r="BT1871" s="2"/>
      <c r="BU1871" s="2"/>
    </row>
    <row r="1872" spans="68:73" x14ac:dyDescent="0.25">
      <c r="BP1872" s="2"/>
      <c r="BQ1872" s="2"/>
      <c r="BR1872" s="2"/>
      <c r="BS1872" s="2"/>
      <c r="BT1872" s="2"/>
      <c r="BU1872" s="2"/>
    </row>
    <row r="1873" spans="68:73" x14ac:dyDescent="0.25">
      <c r="BP1873" s="2"/>
      <c r="BQ1873" s="2"/>
      <c r="BR1873" s="2"/>
      <c r="BS1873" s="2"/>
      <c r="BT1873" s="2"/>
      <c r="BU1873" s="2"/>
    </row>
    <row r="1874" spans="68:73" x14ac:dyDescent="0.25">
      <c r="BP1874" s="2"/>
      <c r="BQ1874" s="2"/>
      <c r="BR1874" s="2"/>
      <c r="BS1874" s="2"/>
      <c r="BT1874" s="2"/>
      <c r="BU1874" s="2"/>
    </row>
    <row r="1875" spans="68:73" x14ac:dyDescent="0.25">
      <c r="BP1875" s="2"/>
      <c r="BQ1875" s="2"/>
      <c r="BR1875" s="2"/>
      <c r="BS1875" s="2"/>
      <c r="BT1875" s="2"/>
      <c r="BU1875" s="2"/>
    </row>
    <row r="1876" spans="68:73" x14ac:dyDescent="0.25">
      <c r="BP1876" s="2"/>
      <c r="BQ1876" s="2"/>
      <c r="BR1876" s="2"/>
      <c r="BS1876" s="2"/>
      <c r="BT1876" s="2"/>
      <c r="BU1876" s="2"/>
    </row>
    <row r="1877" spans="68:73" x14ac:dyDescent="0.25">
      <c r="BP1877" s="2"/>
      <c r="BQ1877" s="2"/>
      <c r="BR1877" s="2"/>
      <c r="BS1877" s="2"/>
      <c r="BT1877" s="2"/>
      <c r="BU1877" s="2"/>
    </row>
    <row r="1878" spans="68:73" x14ac:dyDescent="0.25">
      <c r="BP1878" s="2"/>
      <c r="BQ1878" s="2"/>
      <c r="BR1878" s="2"/>
      <c r="BS1878" s="2"/>
      <c r="BT1878" s="2"/>
      <c r="BU1878" s="2"/>
    </row>
    <row r="1879" spans="68:73" x14ac:dyDescent="0.25">
      <c r="BP1879" s="2"/>
      <c r="BQ1879" s="2"/>
      <c r="BR1879" s="2"/>
      <c r="BS1879" s="2"/>
      <c r="BT1879" s="2"/>
      <c r="BU1879" s="2"/>
    </row>
    <row r="1880" spans="68:73" x14ac:dyDescent="0.25">
      <c r="BP1880" s="2"/>
      <c r="BQ1880" s="2"/>
      <c r="BR1880" s="2"/>
      <c r="BS1880" s="2"/>
      <c r="BT1880" s="2"/>
      <c r="BU1880" s="2"/>
    </row>
    <row r="1881" spans="68:73" x14ac:dyDescent="0.25">
      <c r="BP1881" s="2"/>
      <c r="BQ1881" s="2"/>
      <c r="BR1881" s="2"/>
      <c r="BS1881" s="2"/>
      <c r="BT1881" s="2"/>
      <c r="BU1881" s="2"/>
    </row>
    <row r="1882" spans="68:73" x14ac:dyDescent="0.25">
      <c r="BP1882" s="2"/>
      <c r="BQ1882" s="2"/>
      <c r="BR1882" s="2"/>
      <c r="BS1882" s="2"/>
      <c r="BT1882" s="2"/>
      <c r="BU1882" s="2"/>
    </row>
    <row r="1883" spans="68:73" x14ac:dyDescent="0.25">
      <c r="BP1883" s="2"/>
      <c r="BQ1883" s="2"/>
      <c r="BR1883" s="2"/>
      <c r="BS1883" s="2"/>
      <c r="BT1883" s="2"/>
      <c r="BU1883" s="2"/>
    </row>
    <row r="1884" spans="68:73" x14ac:dyDescent="0.25">
      <c r="BP1884" s="2"/>
      <c r="BQ1884" s="2"/>
      <c r="BR1884" s="2"/>
      <c r="BS1884" s="2"/>
      <c r="BT1884" s="2"/>
      <c r="BU1884" s="2"/>
    </row>
    <row r="1885" spans="68:73" x14ac:dyDescent="0.25">
      <c r="BP1885" s="2"/>
      <c r="BQ1885" s="2"/>
      <c r="BR1885" s="2"/>
      <c r="BS1885" s="2"/>
      <c r="BT1885" s="2"/>
      <c r="BU1885" s="2"/>
    </row>
    <row r="1886" spans="68:73" x14ac:dyDescent="0.25">
      <c r="BP1886" s="2"/>
      <c r="BQ1886" s="2"/>
      <c r="BR1886" s="2"/>
      <c r="BS1886" s="2"/>
      <c r="BT1886" s="2"/>
      <c r="BU1886" s="2"/>
    </row>
    <row r="1887" spans="68:73" x14ac:dyDescent="0.25">
      <c r="BP1887" s="2"/>
      <c r="BQ1887" s="2"/>
      <c r="BR1887" s="2"/>
      <c r="BS1887" s="2"/>
      <c r="BT1887" s="2"/>
      <c r="BU1887" s="2"/>
    </row>
    <row r="1888" spans="68:73" x14ac:dyDescent="0.25">
      <c r="BP1888" s="2"/>
      <c r="BQ1888" s="2"/>
      <c r="BR1888" s="2"/>
      <c r="BS1888" s="2"/>
      <c r="BT1888" s="2"/>
      <c r="BU1888" s="2"/>
    </row>
    <row r="1889" spans="68:73" x14ac:dyDescent="0.25">
      <c r="BP1889" s="2"/>
      <c r="BQ1889" s="2"/>
      <c r="BR1889" s="2"/>
      <c r="BS1889" s="2"/>
      <c r="BT1889" s="2"/>
      <c r="BU1889" s="2"/>
    </row>
    <row r="1890" spans="68:73" x14ac:dyDescent="0.25">
      <c r="BP1890" s="2"/>
      <c r="BQ1890" s="2"/>
      <c r="BR1890" s="2"/>
      <c r="BS1890" s="2"/>
      <c r="BT1890" s="2"/>
      <c r="BU1890" s="2"/>
    </row>
    <row r="1891" spans="68:73" x14ac:dyDescent="0.25">
      <c r="BP1891" s="2"/>
      <c r="BQ1891" s="2"/>
      <c r="BR1891" s="2"/>
      <c r="BS1891" s="2"/>
      <c r="BT1891" s="2"/>
      <c r="BU1891" s="2"/>
    </row>
    <row r="1892" spans="68:73" x14ac:dyDescent="0.25">
      <c r="BP1892" s="2"/>
      <c r="BQ1892" s="2"/>
      <c r="BR1892" s="2"/>
      <c r="BS1892" s="2"/>
      <c r="BT1892" s="2"/>
      <c r="BU1892" s="2"/>
    </row>
    <row r="1893" spans="68:73" x14ac:dyDescent="0.25">
      <c r="BP1893" s="2"/>
      <c r="BQ1893" s="2"/>
      <c r="BR1893" s="2"/>
      <c r="BS1893" s="2"/>
      <c r="BT1893" s="2"/>
      <c r="BU1893" s="2"/>
    </row>
    <row r="1894" spans="68:73" x14ac:dyDescent="0.25">
      <c r="BP1894" s="2"/>
      <c r="BQ1894" s="2"/>
      <c r="BR1894" s="2"/>
      <c r="BS1894" s="2"/>
      <c r="BT1894" s="2"/>
      <c r="BU1894" s="2"/>
    </row>
    <row r="1895" spans="68:73" x14ac:dyDescent="0.25">
      <c r="BP1895" s="2"/>
      <c r="BQ1895" s="2"/>
      <c r="BR1895" s="2"/>
      <c r="BS1895" s="2"/>
      <c r="BT1895" s="2"/>
      <c r="BU1895" s="2"/>
    </row>
    <row r="1896" spans="68:73" x14ac:dyDescent="0.25">
      <c r="BP1896" s="2"/>
      <c r="BQ1896" s="2"/>
      <c r="BR1896" s="2"/>
      <c r="BS1896" s="2"/>
      <c r="BT1896" s="2"/>
      <c r="BU1896" s="2"/>
    </row>
    <row r="1897" spans="68:73" x14ac:dyDescent="0.25">
      <c r="BP1897" s="2"/>
      <c r="BQ1897" s="2"/>
      <c r="BR1897" s="2"/>
      <c r="BS1897" s="2"/>
      <c r="BT1897" s="2"/>
      <c r="BU1897" s="2"/>
    </row>
    <row r="1898" spans="68:73" x14ac:dyDescent="0.25">
      <c r="BP1898" s="2"/>
      <c r="BQ1898" s="2"/>
      <c r="BR1898" s="2"/>
      <c r="BS1898" s="2"/>
      <c r="BT1898" s="2"/>
      <c r="BU1898" s="2"/>
    </row>
    <row r="1899" spans="68:73" x14ac:dyDescent="0.25">
      <c r="BP1899" s="2"/>
      <c r="BQ1899" s="2"/>
      <c r="BR1899" s="2"/>
      <c r="BS1899" s="2"/>
      <c r="BT1899" s="2"/>
      <c r="BU1899" s="2"/>
    </row>
    <row r="1900" spans="68:73" x14ac:dyDescent="0.25">
      <c r="BP1900" s="2"/>
      <c r="BQ1900" s="2"/>
      <c r="BR1900" s="2"/>
      <c r="BS1900" s="2"/>
      <c r="BT1900" s="2"/>
      <c r="BU1900" s="2"/>
    </row>
    <row r="1901" spans="68:73" x14ac:dyDescent="0.25">
      <c r="BP1901" s="2"/>
      <c r="BQ1901" s="2"/>
      <c r="BR1901" s="2"/>
      <c r="BS1901" s="2"/>
      <c r="BT1901" s="2"/>
      <c r="BU1901" s="2"/>
    </row>
    <row r="1902" spans="68:73" x14ac:dyDescent="0.25">
      <c r="BP1902" s="2"/>
      <c r="BQ1902" s="2"/>
      <c r="BR1902" s="2"/>
      <c r="BS1902" s="2"/>
      <c r="BT1902" s="2"/>
      <c r="BU1902" s="2"/>
    </row>
    <row r="1903" spans="68:73" x14ac:dyDescent="0.25">
      <c r="BP1903" s="2"/>
      <c r="BQ1903" s="2"/>
      <c r="BR1903" s="2"/>
      <c r="BS1903" s="2"/>
      <c r="BT1903" s="2"/>
      <c r="BU1903" s="2"/>
    </row>
    <row r="1904" spans="68:73" x14ac:dyDescent="0.25">
      <c r="BP1904" s="2"/>
      <c r="BQ1904" s="2"/>
      <c r="BR1904" s="2"/>
      <c r="BS1904" s="2"/>
      <c r="BT1904" s="2"/>
      <c r="BU1904" s="2"/>
    </row>
    <row r="1905" spans="68:73" x14ac:dyDescent="0.25">
      <c r="BP1905" s="2"/>
      <c r="BQ1905" s="2"/>
      <c r="BR1905" s="2"/>
      <c r="BS1905" s="2"/>
      <c r="BT1905" s="2"/>
      <c r="BU1905" s="2"/>
    </row>
    <row r="1906" spans="68:73" x14ac:dyDescent="0.25">
      <c r="BP1906" s="2"/>
      <c r="BQ1906" s="2"/>
      <c r="BR1906" s="2"/>
      <c r="BS1906" s="2"/>
      <c r="BT1906" s="2"/>
      <c r="BU1906" s="2"/>
    </row>
    <row r="1907" spans="68:73" x14ac:dyDescent="0.25">
      <c r="BP1907" s="2"/>
      <c r="BQ1907" s="2"/>
      <c r="BR1907" s="2"/>
      <c r="BS1907" s="2"/>
      <c r="BT1907" s="2"/>
      <c r="BU1907" s="2"/>
    </row>
    <row r="1908" spans="68:73" x14ac:dyDescent="0.25">
      <c r="BP1908" s="2"/>
      <c r="BQ1908" s="2"/>
      <c r="BR1908" s="2"/>
      <c r="BS1908" s="2"/>
      <c r="BT1908" s="2"/>
      <c r="BU1908" s="2"/>
    </row>
    <row r="1909" spans="68:73" x14ac:dyDescent="0.25">
      <c r="BP1909" s="2"/>
      <c r="BQ1909" s="2"/>
      <c r="BR1909" s="2"/>
      <c r="BS1909" s="2"/>
      <c r="BT1909" s="2"/>
      <c r="BU1909" s="2"/>
    </row>
    <row r="1910" spans="68:73" x14ac:dyDescent="0.25">
      <c r="BP1910" s="2"/>
      <c r="BQ1910" s="2"/>
      <c r="BR1910" s="2"/>
      <c r="BS1910" s="2"/>
      <c r="BT1910" s="2"/>
      <c r="BU1910" s="2"/>
    </row>
    <row r="1911" spans="68:73" x14ac:dyDescent="0.25">
      <c r="BP1911" s="2"/>
      <c r="BQ1911" s="2"/>
      <c r="BR1911" s="2"/>
      <c r="BS1911" s="2"/>
      <c r="BT1911" s="2"/>
      <c r="BU1911" s="2"/>
    </row>
    <row r="1912" spans="68:73" x14ac:dyDescent="0.25">
      <c r="BP1912" s="2"/>
      <c r="BQ1912" s="2"/>
      <c r="BR1912" s="2"/>
      <c r="BS1912" s="2"/>
      <c r="BT1912" s="2"/>
      <c r="BU1912" s="2"/>
    </row>
    <row r="1913" spans="68:73" x14ac:dyDescent="0.25">
      <c r="BP1913" s="2"/>
      <c r="BQ1913" s="2"/>
      <c r="BR1913" s="2"/>
      <c r="BS1913" s="2"/>
      <c r="BT1913" s="2"/>
      <c r="BU1913" s="2"/>
    </row>
    <row r="1914" spans="68:73" x14ac:dyDescent="0.25">
      <c r="BP1914" s="2"/>
      <c r="BQ1914" s="2"/>
      <c r="BR1914" s="2"/>
      <c r="BS1914" s="2"/>
      <c r="BT1914" s="2"/>
      <c r="BU1914" s="2"/>
    </row>
    <row r="1915" spans="68:73" x14ac:dyDescent="0.25">
      <c r="BP1915" s="2"/>
      <c r="BQ1915" s="2"/>
      <c r="BR1915" s="2"/>
      <c r="BS1915" s="2"/>
      <c r="BT1915" s="2"/>
      <c r="BU1915" s="2"/>
    </row>
    <row r="1916" spans="68:73" x14ac:dyDescent="0.25">
      <c r="BP1916" s="2"/>
      <c r="BQ1916" s="2"/>
      <c r="BR1916" s="2"/>
      <c r="BS1916" s="2"/>
      <c r="BT1916" s="2"/>
      <c r="BU1916" s="2"/>
    </row>
    <row r="1917" spans="68:73" x14ac:dyDescent="0.25">
      <c r="BP1917" s="2"/>
      <c r="BQ1917" s="2"/>
      <c r="BR1917" s="2"/>
      <c r="BS1917" s="2"/>
      <c r="BT1917" s="2"/>
      <c r="BU1917" s="2"/>
    </row>
    <row r="1918" spans="68:73" x14ac:dyDescent="0.25">
      <c r="BP1918" s="2"/>
      <c r="BQ1918" s="2"/>
      <c r="BR1918" s="2"/>
      <c r="BS1918" s="2"/>
      <c r="BT1918" s="2"/>
      <c r="BU1918" s="2"/>
    </row>
    <row r="1919" spans="68:73" x14ac:dyDescent="0.25">
      <c r="BP1919" s="2"/>
      <c r="BQ1919" s="2"/>
      <c r="BR1919" s="2"/>
      <c r="BS1919" s="2"/>
      <c r="BT1919" s="2"/>
      <c r="BU1919" s="2"/>
    </row>
    <row r="1920" spans="68:73" x14ac:dyDescent="0.25">
      <c r="BP1920" s="2"/>
      <c r="BQ1920" s="2"/>
      <c r="BR1920" s="2"/>
      <c r="BS1920" s="2"/>
      <c r="BT1920" s="2"/>
      <c r="BU1920" s="2"/>
    </row>
    <row r="1921" spans="68:73" x14ac:dyDescent="0.25">
      <c r="BP1921" s="2"/>
      <c r="BQ1921" s="2"/>
      <c r="BR1921" s="2"/>
      <c r="BS1921" s="2"/>
      <c r="BT1921" s="2"/>
      <c r="BU1921" s="2"/>
    </row>
    <row r="1922" spans="68:73" x14ac:dyDescent="0.25">
      <c r="BP1922" s="2"/>
      <c r="BQ1922" s="2"/>
      <c r="BR1922" s="2"/>
      <c r="BS1922" s="2"/>
      <c r="BT1922" s="2"/>
      <c r="BU1922" s="2"/>
    </row>
    <row r="1923" spans="68:73" x14ac:dyDescent="0.25">
      <c r="BP1923" s="2"/>
      <c r="BQ1923" s="2"/>
      <c r="BR1923" s="2"/>
      <c r="BS1923" s="2"/>
      <c r="BT1923" s="2"/>
      <c r="BU1923" s="2"/>
    </row>
    <row r="1924" spans="68:73" x14ac:dyDescent="0.25">
      <c r="BP1924" s="2"/>
      <c r="BQ1924" s="2"/>
      <c r="BR1924" s="2"/>
      <c r="BS1924" s="2"/>
      <c r="BT1924" s="2"/>
      <c r="BU1924" s="2"/>
    </row>
    <row r="1925" spans="68:73" x14ac:dyDescent="0.25">
      <c r="BP1925" s="2"/>
      <c r="BQ1925" s="2"/>
      <c r="BR1925" s="2"/>
      <c r="BS1925" s="2"/>
      <c r="BT1925" s="2"/>
      <c r="BU1925" s="2"/>
    </row>
    <row r="1926" spans="68:73" x14ac:dyDescent="0.25">
      <c r="BP1926" s="2"/>
      <c r="BQ1926" s="2"/>
      <c r="BR1926" s="2"/>
      <c r="BS1926" s="2"/>
      <c r="BT1926" s="2"/>
      <c r="BU1926" s="2"/>
    </row>
    <row r="1927" spans="68:73" x14ac:dyDescent="0.25">
      <c r="BP1927" s="2"/>
      <c r="BQ1927" s="2"/>
      <c r="BR1927" s="2"/>
      <c r="BS1927" s="2"/>
      <c r="BT1927" s="2"/>
      <c r="BU1927" s="2"/>
    </row>
    <row r="1928" spans="68:73" x14ac:dyDescent="0.25">
      <c r="BP1928" s="2"/>
      <c r="BQ1928" s="2"/>
      <c r="BR1928" s="2"/>
      <c r="BS1928" s="2"/>
      <c r="BT1928" s="2"/>
      <c r="BU1928" s="2"/>
    </row>
    <row r="1929" spans="68:73" x14ac:dyDescent="0.25">
      <c r="BP1929" s="2"/>
      <c r="BQ1929" s="2"/>
      <c r="BR1929" s="2"/>
      <c r="BS1929" s="2"/>
      <c r="BT1929" s="2"/>
      <c r="BU1929" s="2"/>
    </row>
    <row r="1930" spans="68:73" x14ac:dyDescent="0.25">
      <c r="BP1930" s="2"/>
      <c r="BQ1930" s="2"/>
      <c r="BR1930" s="2"/>
      <c r="BS1930" s="2"/>
      <c r="BT1930" s="2"/>
      <c r="BU1930" s="2"/>
    </row>
    <row r="1931" spans="68:73" x14ac:dyDescent="0.25">
      <c r="BP1931" s="2"/>
      <c r="BQ1931" s="2"/>
      <c r="BR1931" s="2"/>
      <c r="BS1931" s="2"/>
      <c r="BT1931" s="2"/>
      <c r="BU1931" s="2"/>
    </row>
    <row r="1932" spans="68:73" x14ac:dyDescent="0.25">
      <c r="BP1932" s="2"/>
      <c r="BQ1932" s="2"/>
      <c r="BR1932" s="2"/>
      <c r="BS1932" s="2"/>
      <c r="BT1932" s="2"/>
      <c r="BU1932" s="2"/>
    </row>
    <row r="1933" spans="68:73" x14ac:dyDescent="0.25">
      <c r="BP1933" s="2"/>
      <c r="BQ1933" s="2"/>
      <c r="BR1933" s="2"/>
      <c r="BS1933" s="2"/>
      <c r="BT1933" s="2"/>
      <c r="BU1933" s="2"/>
    </row>
    <row r="1934" spans="68:73" x14ac:dyDescent="0.25">
      <c r="BP1934" s="2"/>
      <c r="BQ1934" s="2"/>
      <c r="BR1934" s="2"/>
      <c r="BS1934" s="2"/>
      <c r="BT1934" s="2"/>
      <c r="BU1934" s="2"/>
    </row>
    <row r="1935" spans="68:73" x14ac:dyDescent="0.25">
      <c r="BP1935" s="2"/>
      <c r="BQ1935" s="2"/>
      <c r="BR1935" s="2"/>
      <c r="BS1935" s="2"/>
      <c r="BT1935" s="2"/>
      <c r="BU1935" s="2"/>
    </row>
    <row r="1936" spans="68:73" x14ac:dyDescent="0.25">
      <c r="BP1936" s="2"/>
      <c r="BQ1936" s="2"/>
      <c r="BR1936" s="2"/>
      <c r="BS1936" s="2"/>
      <c r="BT1936" s="2"/>
      <c r="BU1936" s="2"/>
    </row>
    <row r="1937" spans="68:73" x14ac:dyDescent="0.25">
      <c r="BP1937" s="2"/>
      <c r="BQ1937" s="2"/>
      <c r="BR1937" s="2"/>
      <c r="BS1937" s="2"/>
      <c r="BT1937" s="2"/>
      <c r="BU1937" s="2"/>
    </row>
    <row r="1938" spans="68:73" x14ac:dyDescent="0.25">
      <c r="BP1938" s="2"/>
      <c r="BQ1938" s="2"/>
      <c r="BR1938" s="2"/>
      <c r="BS1938" s="2"/>
      <c r="BT1938" s="2"/>
      <c r="BU1938" s="2"/>
    </row>
    <row r="1939" spans="68:73" x14ac:dyDescent="0.25">
      <c r="BP1939" s="2"/>
      <c r="BQ1939" s="2"/>
      <c r="BR1939" s="2"/>
      <c r="BS1939" s="2"/>
      <c r="BT1939" s="2"/>
      <c r="BU1939" s="2"/>
    </row>
    <row r="1940" spans="68:73" x14ac:dyDescent="0.25">
      <c r="BP1940" s="2"/>
      <c r="BQ1940" s="2"/>
      <c r="BR1940" s="2"/>
      <c r="BS1940" s="2"/>
      <c r="BT1940" s="2"/>
      <c r="BU1940" s="2"/>
    </row>
    <row r="1941" spans="68:73" x14ac:dyDescent="0.25">
      <c r="BP1941" s="2"/>
      <c r="BQ1941" s="2"/>
      <c r="BR1941" s="2"/>
      <c r="BS1941" s="2"/>
      <c r="BT1941" s="2"/>
      <c r="BU1941" s="2"/>
    </row>
    <row r="1942" spans="68:73" x14ac:dyDescent="0.25">
      <c r="BP1942" s="2"/>
      <c r="BQ1942" s="2"/>
      <c r="BR1942" s="2"/>
      <c r="BS1942" s="2"/>
      <c r="BT1942" s="2"/>
      <c r="BU1942" s="2"/>
    </row>
    <row r="1943" spans="68:73" x14ac:dyDescent="0.25">
      <c r="BP1943" s="2"/>
      <c r="BQ1943" s="2"/>
      <c r="BR1943" s="2"/>
      <c r="BS1943" s="2"/>
      <c r="BT1943" s="2"/>
      <c r="BU1943" s="2"/>
    </row>
    <row r="1944" spans="68:73" x14ac:dyDescent="0.25">
      <c r="BP1944" s="2"/>
      <c r="BQ1944" s="2"/>
      <c r="BR1944" s="2"/>
      <c r="BS1944" s="2"/>
      <c r="BT1944" s="2"/>
      <c r="BU1944" s="2"/>
    </row>
    <row r="1945" spans="68:73" x14ac:dyDescent="0.25">
      <c r="BP1945" s="2"/>
      <c r="BQ1945" s="2"/>
      <c r="BR1945" s="2"/>
      <c r="BS1945" s="2"/>
      <c r="BT1945" s="2"/>
      <c r="BU1945" s="2"/>
    </row>
    <row r="1946" spans="68:73" x14ac:dyDescent="0.25">
      <c r="BP1946" s="2"/>
      <c r="BQ1946" s="2"/>
      <c r="BR1946" s="2"/>
      <c r="BS1946" s="2"/>
      <c r="BT1946" s="2"/>
      <c r="BU1946" s="2"/>
    </row>
    <row r="1947" spans="68:73" x14ac:dyDescent="0.25">
      <c r="BP1947" s="2"/>
      <c r="BQ1947" s="2"/>
      <c r="BR1947" s="2"/>
      <c r="BS1947" s="2"/>
      <c r="BT1947" s="2"/>
      <c r="BU1947" s="2"/>
    </row>
    <row r="1948" spans="68:73" x14ac:dyDescent="0.25">
      <c r="BP1948" s="2"/>
      <c r="BQ1948" s="2"/>
      <c r="BR1948" s="2"/>
      <c r="BS1948" s="2"/>
      <c r="BT1948" s="2"/>
      <c r="BU1948" s="2"/>
    </row>
    <row r="1949" spans="68:73" x14ac:dyDescent="0.25">
      <c r="BP1949" s="2"/>
      <c r="BQ1949" s="2"/>
      <c r="BR1949" s="2"/>
      <c r="BS1949" s="2"/>
      <c r="BT1949" s="2"/>
      <c r="BU1949" s="2"/>
    </row>
    <row r="1950" spans="68:73" x14ac:dyDescent="0.25">
      <c r="BP1950" s="2"/>
      <c r="BQ1950" s="2"/>
      <c r="BR1950" s="2"/>
      <c r="BS1950" s="2"/>
      <c r="BT1950" s="2"/>
      <c r="BU1950" s="2"/>
    </row>
    <row r="1951" spans="68:73" x14ac:dyDescent="0.25">
      <c r="BP1951" s="2"/>
      <c r="BQ1951" s="2"/>
      <c r="BR1951" s="2"/>
      <c r="BS1951" s="2"/>
      <c r="BT1951" s="2"/>
      <c r="BU1951" s="2"/>
    </row>
    <row r="1952" spans="68:73" x14ac:dyDescent="0.25">
      <c r="BP1952" s="2"/>
      <c r="BQ1952" s="2"/>
      <c r="BR1952" s="2"/>
      <c r="BS1952" s="2"/>
      <c r="BT1952" s="2"/>
      <c r="BU1952" s="2"/>
    </row>
    <row r="1953" spans="68:73" x14ac:dyDescent="0.25">
      <c r="BP1953" s="2"/>
      <c r="BQ1953" s="2"/>
      <c r="BR1953" s="2"/>
      <c r="BS1953" s="2"/>
      <c r="BT1953" s="2"/>
      <c r="BU1953" s="2"/>
    </row>
    <row r="1954" spans="68:73" x14ac:dyDescent="0.25">
      <c r="BP1954" s="2"/>
      <c r="BQ1954" s="2"/>
      <c r="BR1954" s="2"/>
      <c r="BS1954" s="2"/>
      <c r="BT1954" s="2"/>
      <c r="BU1954" s="2"/>
    </row>
    <row r="1955" spans="68:73" x14ac:dyDescent="0.25">
      <c r="BP1955" s="2"/>
      <c r="BQ1955" s="2"/>
      <c r="BR1955" s="2"/>
      <c r="BS1955" s="2"/>
      <c r="BT1955" s="2"/>
      <c r="BU1955" s="2"/>
    </row>
    <row r="1956" spans="68:73" x14ac:dyDescent="0.25">
      <c r="BP1956" s="2"/>
      <c r="BQ1956" s="2"/>
      <c r="BR1956" s="2"/>
      <c r="BS1956" s="2"/>
      <c r="BT1956" s="2"/>
      <c r="BU1956" s="2"/>
    </row>
    <row r="1957" spans="68:73" x14ac:dyDescent="0.25">
      <c r="BP1957" s="2"/>
      <c r="BQ1957" s="2"/>
      <c r="BR1957" s="2"/>
      <c r="BS1957" s="2"/>
      <c r="BT1957" s="2"/>
      <c r="BU1957" s="2"/>
    </row>
    <row r="1958" spans="68:73" x14ac:dyDescent="0.25">
      <c r="BP1958" s="2"/>
      <c r="BQ1958" s="2"/>
      <c r="BR1958" s="2"/>
      <c r="BS1958" s="2"/>
      <c r="BT1958" s="2"/>
      <c r="BU1958" s="2"/>
    </row>
    <row r="1959" spans="68:73" x14ac:dyDescent="0.25">
      <c r="BP1959" s="2"/>
      <c r="BQ1959" s="2"/>
      <c r="BR1959" s="2"/>
      <c r="BS1959" s="2"/>
      <c r="BT1959" s="2"/>
      <c r="BU1959" s="2"/>
    </row>
    <row r="1960" spans="68:73" x14ac:dyDescent="0.25">
      <c r="BP1960" s="2"/>
      <c r="BQ1960" s="2"/>
      <c r="BR1960" s="2"/>
      <c r="BS1960" s="2"/>
      <c r="BT1960" s="2"/>
      <c r="BU1960" s="2"/>
    </row>
    <row r="1961" spans="68:73" x14ac:dyDescent="0.25">
      <c r="BP1961" s="2"/>
      <c r="BQ1961" s="2"/>
      <c r="BR1961" s="2"/>
      <c r="BS1961" s="2"/>
      <c r="BT1961" s="2"/>
      <c r="BU1961" s="2"/>
    </row>
    <row r="1962" spans="68:73" x14ac:dyDescent="0.25">
      <c r="BP1962" s="2"/>
      <c r="BQ1962" s="2"/>
      <c r="BR1962" s="2"/>
      <c r="BS1962" s="2"/>
      <c r="BT1962" s="2"/>
      <c r="BU1962" s="2"/>
    </row>
    <row r="1963" spans="68:73" x14ac:dyDescent="0.25">
      <c r="BP1963" s="2"/>
      <c r="BQ1963" s="2"/>
      <c r="BR1963" s="2"/>
      <c r="BS1963" s="2"/>
      <c r="BT1963" s="2"/>
      <c r="BU1963" s="2"/>
    </row>
    <row r="1964" spans="68:73" x14ac:dyDescent="0.25">
      <c r="BP1964" s="2"/>
      <c r="BQ1964" s="2"/>
      <c r="BR1964" s="2"/>
      <c r="BS1964" s="2"/>
      <c r="BT1964" s="2"/>
      <c r="BU1964" s="2"/>
    </row>
    <row r="1965" spans="68:73" x14ac:dyDescent="0.25">
      <c r="BP1965" s="2"/>
      <c r="BQ1965" s="2"/>
      <c r="BR1965" s="2"/>
      <c r="BS1965" s="2"/>
      <c r="BT1965" s="2"/>
      <c r="BU1965" s="2"/>
    </row>
    <row r="1966" spans="68:73" x14ac:dyDescent="0.25">
      <c r="BP1966" s="2"/>
      <c r="BQ1966" s="2"/>
      <c r="BR1966" s="2"/>
      <c r="BS1966" s="2"/>
      <c r="BT1966" s="2"/>
      <c r="BU1966" s="2"/>
    </row>
    <row r="1967" spans="68:73" x14ac:dyDescent="0.25">
      <c r="BP1967" s="2"/>
      <c r="BQ1967" s="2"/>
      <c r="BR1967" s="2"/>
      <c r="BS1967" s="2"/>
      <c r="BT1967" s="2"/>
      <c r="BU1967" s="2"/>
    </row>
    <row r="1968" spans="68:73" x14ac:dyDescent="0.25">
      <c r="BP1968" s="2"/>
      <c r="BQ1968" s="2"/>
      <c r="BR1968" s="2"/>
      <c r="BS1968" s="2"/>
      <c r="BT1968" s="2"/>
      <c r="BU1968" s="2"/>
    </row>
    <row r="1969" spans="68:73" x14ac:dyDescent="0.25">
      <c r="BP1969" s="2"/>
      <c r="BQ1969" s="2"/>
      <c r="BR1969" s="2"/>
      <c r="BS1969" s="2"/>
      <c r="BT1969" s="2"/>
      <c r="BU1969" s="2"/>
    </row>
    <row r="1970" spans="68:73" x14ac:dyDescent="0.25">
      <c r="BP1970" s="2"/>
      <c r="BQ1970" s="2"/>
      <c r="BR1970" s="2"/>
      <c r="BS1970" s="2"/>
      <c r="BT1970" s="2"/>
      <c r="BU1970" s="2"/>
    </row>
    <row r="1971" spans="68:73" x14ac:dyDescent="0.25">
      <c r="BP1971" s="2"/>
      <c r="BQ1971" s="2"/>
      <c r="BR1971" s="2"/>
      <c r="BS1971" s="2"/>
      <c r="BT1971" s="2"/>
      <c r="BU1971" s="2"/>
    </row>
    <row r="1972" spans="68:73" x14ac:dyDescent="0.25">
      <c r="BP1972" s="2"/>
      <c r="BQ1972" s="2"/>
      <c r="BR1972" s="2"/>
      <c r="BS1972" s="2"/>
      <c r="BT1972" s="2"/>
      <c r="BU1972" s="2"/>
    </row>
    <row r="1973" spans="68:73" x14ac:dyDescent="0.25">
      <c r="BP1973" s="2"/>
      <c r="BQ1973" s="2"/>
      <c r="BR1973" s="2"/>
      <c r="BS1973" s="2"/>
      <c r="BT1973" s="2"/>
      <c r="BU1973" s="2"/>
    </row>
    <row r="1974" spans="68:73" x14ac:dyDescent="0.25">
      <c r="BP1974" s="2"/>
      <c r="BQ1974" s="2"/>
      <c r="BR1974" s="2"/>
      <c r="BS1974" s="2"/>
      <c r="BT1974" s="2"/>
      <c r="BU1974" s="2"/>
    </row>
    <row r="1975" spans="68:73" x14ac:dyDescent="0.25">
      <c r="BP1975" s="2"/>
      <c r="BQ1975" s="2"/>
      <c r="BR1975" s="2"/>
      <c r="BS1975" s="2"/>
      <c r="BT1975" s="2"/>
      <c r="BU1975" s="2"/>
    </row>
    <row r="1976" spans="68:73" x14ac:dyDescent="0.25">
      <c r="BP1976" s="2"/>
      <c r="BQ1976" s="2"/>
      <c r="BR1976" s="2"/>
      <c r="BS1976" s="2"/>
      <c r="BT1976" s="2"/>
      <c r="BU1976" s="2"/>
    </row>
    <row r="1977" spans="68:73" x14ac:dyDescent="0.25">
      <c r="BP1977" s="2"/>
      <c r="BQ1977" s="2"/>
      <c r="BR1977" s="2"/>
      <c r="BS1977" s="2"/>
      <c r="BT1977" s="2"/>
      <c r="BU1977" s="2"/>
    </row>
    <row r="1978" spans="68:73" x14ac:dyDescent="0.25">
      <c r="BP1978" s="2"/>
      <c r="BQ1978" s="2"/>
      <c r="BR1978" s="2"/>
      <c r="BS1978" s="2"/>
      <c r="BT1978" s="2"/>
      <c r="BU1978" s="2"/>
    </row>
    <row r="1979" spans="68:73" x14ac:dyDescent="0.25">
      <c r="BP1979" s="2"/>
      <c r="BQ1979" s="2"/>
      <c r="BR1979" s="2"/>
      <c r="BS1979" s="2"/>
      <c r="BT1979" s="2"/>
      <c r="BU1979" s="2"/>
    </row>
    <row r="1980" spans="68:73" x14ac:dyDescent="0.25">
      <c r="BP1980" s="2"/>
      <c r="BQ1980" s="2"/>
      <c r="BR1980" s="2"/>
      <c r="BS1980" s="2"/>
      <c r="BT1980" s="2"/>
      <c r="BU1980" s="2"/>
    </row>
    <row r="1981" spans="68:73" x14ac:dyDescent="0.25">
      <c r="BP1981" s="2"/>
      <c r="BQ1981" s="2"/>
      <c r="BR1981" s="2"/>
      <c r="BS1981" s="2"/>
      <c r="BT1981" s="2"/>
      <c r="BU1981" s="2"/>
    </row>
    <row r="1982" spans="68:73" x14ac:dyDescent="0.25">
      <c r="BP1982" s="2"/>
      <c r="BQ1982" s="2"/>
      <c r="BR1982" s="2"/>
      <c r="BS1982" s="2"/>
      <c r="BT1982" s="2"/>
      <c r="BU1982" s="2"/>
    </row>
    <row r="1983" spans="68:73" x14ac:dyDescent="0.25">
      <c r="BP1983" s="2"/>
      <c r="BQ1983" s="2"/>
      <c r="BR1983" s="2"/>
      <c r="BS1983" s="2"/>
      <c r="BT1983" s="2"/>
      <c r="BU1983" s="2"/>
    </row>
    <row r="1984" spans="68:73" x14ac:dyDescent="0.25">
      <c r="BP1984" s="2"/>
      <c r="BQ1984" s="2"/>
      <c r="BR1984" s="2"/>
      <c r="BS1984" s="2"/>
      <c r="BT1984" s="2"/>
      <c r="BU1984" s="2"/>
    </row>
    <row r="1985" spans="68:73" x14ac:dyDescent="0.25">
      <c r="BP1985" s="2"/>
      <c r="BQ1985" s="2"/>
      <c r="BR1985" s="2"/>
      <c r="BS1985" s="2"/>
      <c r="BT1985" s="2"/>
      <c r="BU1985" s="2"/>
    </row>
    <row r="1986" spans="68:73" x14ac:dyDescent="0.25">
      <c r="BP1986" s="2"/>
      <c r="BQ1986" s="2"/>
      <c r="BR1986" s="2"/>
      <c r="BS1986" s="2"/>
      <c r="BT1986" s="2"/>
      <c r="BU1986" s="2"/>
    </row>
    <row r="1987" spans="68:73" x14ac:dyDescent="0.25">
      <c r="BP1987" s="2"/>
      <c r="BQ1987" s="2"/>
      <c r="BR1987" s="2"/>
      <c r="BS1987" s="2"/>
      <c r="BT1987" s="2"/>
      <c r="BU1987" s="2"/>
    </row>
    <row r="1988" spans="68:73" x14ac:dyDescent="0.25">
      <c r="BP1988" s="2"/>
      <c r="BQ1988" s="2"/>
      <c r="BR1988" s="2"/>
      <c r="BS1988" s="2"/>
      <c r="BT1988" s="2"/>
      <c r="BU1988" s="2"/>
    </row>
    <row r="1989" spans="68:73" x14ac:dyDescent="0.25">
      <c r="BP1989" s="2"/>
      <c r="BQ1989" s="2"/>
      <c r="BR1989" s="2"/>
      <c r="BS1989" s="2"/>
      <c r="BT1989" s="2"/>
      <c r="BU1989" s="2"/>
    </row>
    <row r="1990" spans="68:73" x14ac:dyDescent="0.25">
      <c r="BP1990" s="2"/>
      <c r="BQ1990" s="2"/>
      <c r="BR1990" s="2"/>
      <c r="BS1990" s="2"/>
      <c r="BT1990" s="2"/>
      <c r="BU1990" s="2"/>
    </row>
    <row r="1991" spans="68:73" x14ac:dyDescent="0.25">
      <c r="BP1991" s="2"/>
      <c r="BQ1991" s="2"/>
      <c r="BR1991" s="2"/>
      <c r="BS1991" s="2"/>
      <c r="BT1991" s="2"/>
      <c r="BU1991" s="2"/>
    </row>
    <row r="1992" spans="68:73" x14ac:dyDescent="0.25">
      <c r="BP1992" s="2"/>
      <c r="BQ1992" s="2"/>
      <c r="BR1992" s="2"/>
      <c r="BS1992" s="2"/>
      <c r="BT1992" s="2"/>
      <c r="BU1992" s="2"/>
    </row>
    <row r="1993" spans="68:73" x14ac:dyDescent="0.25">
      <c r="BP1993" s="2"/>
      <c r="BQ1993" s="2"/>
      <c r="BR1993" s="2"/>
      <c r="BS1993" s="2"/>
      <c r="BT1993" s="2"/>
      <c r="BU1993" s="2"/>
    </row>
    <row r="1994" spans="68:73" x14ac:dyDescent="0.25">
      <c r="BP1994" s="2"/>
      <c r="BQ1994" s="2"/>
      <c r="BR1994" s="2"/>
      <c r="BS1994" s="2"/>
      <c r="BT1994" s="2"/>
      <c r="BU1994" s="2"/>
    </row>
    <row r="1995" spans="68:73" x14ac:dyDescent="0.25">
      <c r="BP1995" s="2"/>
      <c r="BQ1995" s="2"/>
      <c r="BR1995" s="2"/>
      <c r="BS1995" s="2"/>
      <c r="BT1995" s="2"/>
      <c r="BU1995" s="2"/>
    </row>
    <row r="1996" spans="68:73" x14ac:dyDescent="0.25">
      <c r="BP1996" s="2"/>
      <c r="BQ1996" s="2"/>
      <c r="BR1996" s="2"/>
      <c r="BS1996" s="2"/>
      <c r="BT1996" s="2"/>
      <c r="BU1996" s="2"/>
    </row>
    <row r="1997" spans="68:73" x14ac:dyDescent="0.25">
      <c r="BP1997" s="2"/>
      <c r="BQ1997" s="2"/>
      <c r="BR1997" s="2"/>
      <c r="BS1997" s="2"/>
      <c r="BT1997" s="2"/>
      <c r="BU1997" s="2"/>
    </row>
    <row r="1998" spans="68:73" x14ac:dyDescent="0.25">
      <c r="BP1998" s="2"/>
      <c r="BQ1998" s="2"/>
      <c r="BR1998" s="2"/>
      <c r="BS1998" s="2"/>
      <c r="BT1998" s="2"/>
      <c r="BU1998" s="2"/>
    </row>
    <row r="1999" spans="68:73" x14ac:dyDescent="0.25">
      <c r="BP1999" s="2"/>
      <c r="BQ1999" s="2"/>
      <c r="BR1999" s="2"/>
      <c r="BS1999" s="2"/>
      <c r="BT1999" s="2"/>
      <c r="BU1999" s="2"/>
    </row>
    <row r="2000" spans="68:73" x14ac:dyDescent="0.25">
      <c r="BP2000" s="2"/>
      <c r="BQ2000" s="2"/>
      <c r="BR2000" s="2"/>
      <c r="BS2000" s="2"/>
      <c r="BT2000" s="2"/>
      <c r="BU2000" s="2"/>
    </row>
    <row r="2001" spans="68:73" x14ac:dyDescent="0.25">
      <c r="BP2001" s="2"/>
      <c r="BQ2001" s="2"/>
      <c r="BR2001" s="2"/>
      <c r="BS2001" s="2"/>
      <c r="BT2001" s="2"/>
      <c r="BU2001" s="2"/>
    </row>
    <row r="2002" spans="68:73" x14ac:dyDescent="0.25">
      <c r="BP2002" s="2"/>
      <c r="BQ2002" s="2"/>
      <c r="BR2002" s="2"/>
      <c r="BS2002" s="2"/>
      <c r="BT2002" s="2"/>
      <c r="BU2002" s="2"/>
    </row>
    <row r="2003" spans="68:73" x14ac:dyDescent="0.25">
      <c r="BP2003" s="2"/>
      <c r="BQ2003" s="2"/>
      <c r="BR2003" s="2"/>
      <c r="BS2003" s="2"/>
      <c r="BT2003" s="2"/>
      <c r="BU2003" s="2"/>
    </row>
    <row r="2004" spans="68:73" x14ac:dyDescent="0.25">
      <c r="BP2004" s="2"/>
      <c r="BQ2004" s="2"/>
      <c r="BR2004" s="2"/>
      <c r="BS2004" s="2"/>
      <c r="BT2004" s="2"/>
      <c r="BU2004" s="2"/>
    </row>
    <row r="2005" spans="68:73" x14ac:dyDescent="0.25">
      <c r="BP2005" s="2"/>
      <c r="BQ2005" s="2"/>
      <c r="BR2005" s="2"/>
      <c r="BS2005" s="2"/>
      <c r="BT2005" s="2"/>
      <c r="BU2005" s="2"/>
    </row>
    <row r="2006" spans="68:73" x14ac:dyDescent="0.25">
      <c r="BP2006" s="2"/>
      <c r="BQ2006" s="2"/>
      <c r="BR2006" s="2"/>
      <c r="BS2006" s="2"/>
      <c r="BT2006" s="2"/>
      <c r="BU2006" s="2"/>
    </row>
    <row r="2007" spans="68:73" x14ac:dyDescent="0.25">
      <c r="BP2007" s="2"/>
      <c r="BQ2007" s="2"/>
      <c r="BR2007" s="2"/>
      <c r="BS2007" s="2"/>
      <c r="BT2007" s="2"/>
      <c r="BU2007" s="2"/>
    </row>
    <row r="2008" spans="68:73" x14ac:dyDescent="0.25">
      <c r="BP2008" s="2"/>
      <c r="BQ2008" s="2"/>
      <c r="BR2008" s="2"/>
      <c r="BS2008" s="2"/>
      <c r="BT2008" s="2"/>
      <c r="BU2008" s="2"/>
    </row>
    <row r="2009" spans="68:73" x14ac:dyDescent="0.25">
      <c r="BP2009" s="2"/>
      <c r="BQ2009" s="2"/>
      <c r="BR2009" s="2"/>
      <c r="BS2009" s="2"/>
      <c r="BT2009" s="2"/>
      <c r="BU2009" s="2"/>
    </row>
    <row r="2010" spans="68:73" x14ac:dyDescent="0.25">
      <c r="BP2010" s="2"/>
      <c r="BQ2010" s="2"/>
      <c r="BR2010" s="2"/>
      <c r="BS2010" s="2"/>
      <c r="BT2010" s="2"/>
      <c r="BU2010" s="2"/>
    </row>
    <row r="2011" spans="68:73" x14ac:dyDescent="0.25">
      <c r="BP2011" s="2"/>
      <c r="BQ2011" s="2"/>
      <c r="BR2011" s="2"/>
      <c r="BS2011" s="2"/>
      <c r="BT2011" s="2"/>
      <c r="BU2011" s="2"/>
    </row>
    <row r="2012" spans="68:73" x14ac:dyDescent="0.25">
      <c r="BP2012" s="2"/>
      <c r="BQ2012" s="2"/>
      <c r="BR2012" s="2"/>
      <c r="BS2012" s="2"/>
      <c r="BT2012" s="2"/>
      <c r="BU2012" s="2"/>
    </row>
    <row r="2013" spans="68:73" x14ac:dyDescent="0.25">
      <c r="BP2013" s="2"/>
      <c r="BQ2013" s="2"/>
      <c r="BR2013" s="2"/>
      <c r="BS2013" s="2"/>
      <c r="BT2013" s="2"/>
      <c r="BU2013" s="2"/>
    </row>
    <row r="2014" spans="68:73" x14ac:dyDescent="0.25">
      <c r="BP2014" s="2"/>
      <c r="BQ2014" s="2"/>
      <c r="BR2014" s="2"/>
      <c r="BS2014" s="2"/>
      <c r="BT2014" s="2"/>
      <c r="BU2014" s="2"/>
    </row>
    <row r="2015" spans="68:73" x14ac:dyDescent="0.25">
      <c r="BP2015" s="2"/>
      <c r="BQ2015" s="2"/>
      <c r="BR2015" s="2"/>
      <c r="BS2015" s="2"/>
      <c r="BT2015" s="2"/>
      <c r="BU2015" s="2"/>
    </row>
    <row r="2016" spans="68:73" x14ac:dyDescent="0.25">
      <c r="BP2016" s="2"/>
      <c r="BQ2016" s="2"/>
      <c r="BR2016" s="2"/>
      <c r="BS2016" s="2"/>
      <c r="BT2016" s="2"/>
      <c r="BU2016" s="2"/>
    </row>
    <row r="2017" spans="68:73" x14ac:dyDescent="0.25">
      <c r="BP2017" s="2"/>
      <c r="BQ2017" s="2"/>
      <c r="BR2017" s="2"/>
      <c r="BS2017" s="2"/>
      <c r="BT2017" s="2"/>
      <c r="BU2017" s="2"/>
    </row>
    <row r="2018" spans="68:73" x14ac:dyDescent="0.25">
      <c r="BP2018" s="2"/>
      <c r="BQ2018" s="2"/>
      <c r="BR2018" s="2"/>
      <c r="BS2018" s="2"/>
      <c r="BT2018" s="2"/>
      <c r="BU2018" s="2"/>
    </row>
    <row r="2019" spans="68:73" x14ac:dyDescent="0.25">
      <c r="BP2019" s="2"/>
      <c r="BQ2019" s="2"/>
      <c r="BR2019" s="2"/>
      <c r="BS2019" s="2"/>
      <c r="BT2019" s="2"/>
      <c r="BU2019" s="2"/>
    </row>
    <row r="2020" spans="68:73" x14ac:dyDescent="0.25">
      <c r="BP2020" s="2"/>
      <c r="BQ2020" s="2"/>
      <c r="BR2020" s="2"/>
      <c r="BS2020" s="2"/>
      <c r="BT2020" s="2"/>
      <c r="BU2020" s="2"/>
    </row>
    <row r="2021" spans="68:73" x14ac:dyDescent="0.25">
      <c r="BP2021" s="2"/>
      <c r="BQ2021" s="2"/>
      <c r="BR2021" s="2"/>
      <c r="BS2021" s="2"/>
      <c r="BT2021" s="2"/>
      <c r="BU2021" s="2"/>
    </row>
    <row r="2022" spans="68:73" x14ac:dyDescent="0.25">
      <c r="BP2022" s="2"/>
      <c r="BQ2022" s="2"/>
      <c r="BR2022" s="2"/>
      <c r="BS2022" s="2"/>
      <c r="BT2022" s="2"/>
      <c r="BU2022" s="2"/>
    </row>
    <row r="2023" spans="68:73" x14ac:dyDescent="0.25">
      <c r="BP2023" s="2"/>
      <c r="BQ2023" s="2"/>
      <c r="BR2023" s="2"/>
      <c r="BS2023" s="2"/>
      <c r="BT2023" s="2"/>
      <c r="BU2023" s="2"/>
    </row>
    <row r="2024" spans="68:73" x14ac:dyDescent="0.25">
      <c r="BP2024" s="2"/>
      <c r="BQ2024" s="2"/>
      <c r="BR2024" s="2"/>
      <c r="BS2024" s="2"/>
      <c r="BT2024" s="2"/>
      <c r="BU2024" s="2"/>
    </row>
    <row r="2025" spans="68:73" x14ac:dyDescent="0.25">
      <c r="BP2025" s="2"/>
      <c r="BQ2025" s="2"/>
      <c r="BR2025" s="2"/>
      <c r="BS2025" s="2"/>
      <c r="BT2025" s="2"/>
      <c r="BU2025" s="2"/>
    </row>
    <row r="2026" spans="68:73" x14ac:dyDescent="0.25">
      <c r="BP2026" s="2"/>
      <c r="BQ2026" s="2"/>
      <c r="BR2026" s="2"/>
      <c r="BS2026" s="2"/>
      <c r="BT2026" s="2"/>
      <c r="BU2026" s="2"/>
    </row>
    <row r="2027" spans="68:73" x14ac:dyDescent="0.25">
      <c r="BP2027" s="2"/>
      <c r="BQ2027" s="2"/>
      <c r="BR2027" s="2"/>
      <c r="BS2027" s="2"/>
      <c r="BT2027" s="2"/>
      <c r="BU2027" s="2"/>
    </row>
    <row r="2028" spans="68:73" x14ac:dyDescent="0.25">
      <c r="BP2028" s="2"/>
      <c r="BQ2028" s="2"/>
      <c r="BR2028" s="2"/>
      <c r="BS2028" s="2"/>
      <c r="BT2028" s="2"/>
      <c r="BU2028" s="2"/>
    </row>
    <row r="2029" spans="68:73" x14ac:dyDescent="0.25">
      <c r="BP2029" s="2"/>
      <c r="BQ2029" s="2"/>
      <c r="BR2029" s="2"/>
      <c r="BS2029" s="2"/>
      <c r="BT2029" s="2"/>
      <c r="BU2029" s="2"/>
    </row>
    <row r="2030" spans="68:73" x14ac:dyDescent="0.25">
      <c r="BP2030" s="2"/>
      <c r="BQ2030" s="2"/>
      <c r="BR2030" s="2"/>
      <c r="BS2030" s="2"/>
      <c r="BT2030" s="2"/>
      <c r="BU2030" s="2"/>
    </row>
    <row r="2031" spans="68:73" x14ac:dyDescent="0.25">
      <c r="BP2031" s="2"/>
      <c r="BQ2031" s="2"/>
      <c r="BR2031" s="2"/>
      <c r="BS2031" s="2"/>
      <c r="BT2031" s="2"/>
      <c r="BU2031" s="2"/>
    </row>
    <row r="2032" spans="68:73" x14ac:dyDescent="0.25">
      <c r="BP2032" s="2"/>
      <c r="BQ2032" s="2"/>
      <c r="BR2032" s="2"/>
      <c r="BS2032" s="2"/>
      <c r="BT2032" s="2"/>
      <c r="BU2032" s="2"/>
    </row>
    <row r="2033" spans="68:73" x14ac:dyDescent="0.25">
      <c r="BP2033" s="2"/>
      <c r="BQ2033" s="2"/>
      <c r="BR2033" s="2"/>
      <c r="BS2033" s="2"/>
      <c r="BT2033" s="2"/>
      <c r="BU2033" s="2"/>
    </row>
    <row r="2034" spans="68:73" x14ac:dyDescent="0.25">
      <c r="BP2034" s="2"/>
      <c r="BQ2034" s="2"/>
      <c r="BR2034" s="2"/>
      <c r="BS2034" s="2"/>
      <c r="BT2034" s="2"/>
      <c r="BU2034" s="2"/>
    </row>
    <row r="2035" spans="68:73" x14ac:dyDescent="0.25">
      <c r="BP2035" s="2"/>
      <c r="BQ2035" s="2"/>
      <c r="BR2035" s="2"/>
      <c r="BS2035" s="2"/>
      <c r="BT2035" s="2"/>
      <c r="BU2035" s="2"/>
    </row>
    <row r="2036" spans="68:73" x14ac:dyDescent="0.25">
      <c r="BP2036" s="2"/>
      <c r="BQ2036" s="2"/>
      <c r="BR2036" s="2"/>
      <c r="BS2036" s="2"/>
      <c r="BT2036" s="2"/>
      <c r="BU2036" s="2"/>
    </row>
    <row r="2037" spans="68:73" x14ac:dyDescent="0.25">
      <c r="BP2037" s="2"/>
      <c r="BQ2037" s="2"/>
      <c r="BR2037" s="2"/>
      <c r="BS2037" s="2"/>
      <c r="BT2037" s="2"/>
      <c r="BU2037" s="2"/>
    </row>
    <row r="2038" spans="68:73" x14ac:dyDescent="0.25">
      <c r="BP2038" s="2"/>
      <c r="BQ2038" s="2"/>
      <c r="BR2038" s="2"/>
      <c r="BS2038" s="2"/>
      <c r="BT2038" s="2"/>
      <c r="BU2038" s="2"/>
    </row>
    <row r="2039" spans="68:73" x14ac:dyDescent="0.25">
      <c r="BP2039" s="2"/>
      <c r="BQ2039" s="2"/>
      <c r="BR2039" s="2"/>
      <c r="BS2039" s="2"/>
      <c r="BT2039" s="2"/>
      <c r="BU2039" s="2"/>
    </row>
    <row r="2040" spans="68:73" x14ac:dyDescent="0.25">
      <c r="BP2040" s="2"/>
      <c r="BQ2040" s="2"/>
      <c r="BR2040" s="2"/>
      <c r="BS2040" s="2"/>
      <c r="BT2040" s="2"/>
      <c r="BU2040" s="2"/>
    </row>
    <row r="2041" spans="68:73" x14ac:dyDescent="0.25">
      <c r="BP2041" s="2"/>
      <c r="BQ2041" s="2"/>
      <c r="BR2041" s="2"/>
      <c r="BS2041" s="2"/>
      <c r="BT2041" s="2"/>
      <c r="BU2041" s="2"/>
    </row>
    <row r="2042" spans="68:73" x14ac:dyDescent="0.25">
      <c r="BP2042" s="2"/>
      <c r="BQ2042" s="2"/>
      <c r="BR2042" s="2"/>
      <c r="BS2042" s="2"/>
      <c r="BT2042" s="2"/>
      <c r="BU2042" s="2"/>
    </row>
    <row r="2043" spans="68:73" x14ac:dyDescent="0.25">
      <c r="BP2043" s="2"/>
      <c r="BQ2043" s="2"/>
      <c r="BR2043" s="2"/>
      <c r="BS2043" s="2"/>
      <c r="BT2043" s="2"/>
      <c r="BU2043" s="2"/>
    </row>
    <row r="2044" spans="68:73" x14ac:dyDescent="0.25">
      <c r="BP2044" s="2"/>
      <c r="BQ2044" s="2"/>
      <c r="BR2044" s="2"/>
      <c r="BS2044" s="2"/>
      <c r="BT2044" s="2"/>
      <c r="BU2044" s="2"/>
    </row>
    <row r="2045" spans="68:73" x14ac:dyDescent="0.25">
      <c r="BP2045" s="2"/>
      <c r="BQ2045" s="2"/>
      <c r="BR2045" s="2"/>
      <c r="BS2045" s="2"/>
      <c r="BT2045" s="2"/>
      <c r="BU2045" s="2"/>
    </row>
    <row r="2046" spans="68:73" x14ac:dyDescent="0.25">
      <c r="BP2046" s="2"/>
      <c r="BQ2046" s="2"/>
      <c r="BR2046" s="2"/>
      <c r="BS2046" s="2"/>
      <c r="BT2046" s="2"/>
      <c r="BU2046" s="2"/>
    </row>
    <row r="2047" spans="68:73" x14ac:dyDescent="0.25">
      <c r="BP2047" s="2"/>
      <c r="BQ2047" s="2"/>
      <c r="BR2047" s="2"/>
      <c r="BS2047" s="2"/>
      <c r="BT2047" s="2"/>
      <c r="BU2047" s="2"/>
    </row>
    <row r="2048" spans="68:73" x14ac:dyDescent="0.25">
      <c r="BP2048" s="2"/>
      <c r="BQ2048" s="2"/>
      <c r="BR2048" s="2"/>
      <c r="BS2048" s="2"/>
      <c r="BT2048" s="2"/>
      <c r="BU2048" s="2"/>
    </row>
    <row r="2049" spans="68:73" x14ac:dyDescent="0.25">
      <c r="BP2049" s="2"/>
      <c r="BQ2049" s="2"/>
      <c r="BR2049" s="2"/>
      <c r="BS2049" s="2"/>
      <c r="BT2049" s="2"/>
      <c r="BU2049" s="2"/>
    </row>
    <row r="2050" spans="68:73" x14ac:dyDescent="0.25">
      <c r="BP2050" s="2"/>
      <c r="BQ2050" s="2"/>
      <c r="BR2050" s="2"/>
      <c r="BS2050" s="2"/>
      <c r="BT2050" s="2"/>
      <c r="BU2050" s="2"/>
    </row>
    <row r="2051" spans="68:73" x14ac:dyDescent="0.25">
      <c r="BP2051" s="2"/>
      <c r="BQ2051" s="2"/>
      <c r="BR2051" s="2"/>
      <c r="BS2051" s="2"/>
      <c r="BT2051" s="2"/>
      <c r="BU2051" s="2"/>
    </row>
    <row r="2052" spans="68:73" x14ac:dyDescent="0.25">
      <c r="BP2052" s="2"/>
      <c r="BQ2052" s="2"/>
      <c r="BR2052" s="2"/>
      <c r="BS2052" s="2"/>
      <c r="BT2052" s="2"/>
      <c r="BU2052" s="2"/>
    </row>
    <row r="2053" spans="68:73" x14ac:dyDescent="0.25">
      <c r="BP2053" s="2"/>
      <c r="BQ2053" s="2"/>
      <c r="BR2053" s="2"/>
      <c r="BS2053" s="2"/>
      <c r="BT2053" s="2"/>
      <c r="BU2053" s="2"/>
    </row>
    <row r="2054" spans="68:73" x14ac:dyDescent="0.25">
      <c r="BP2054" s="2"/>
      <c r="BQ2054" s="2"/>
      <c r="BR2054" s="2"/>
      <c r="BS2054" s="2"/>
      <c r="BT2054" s="2"/>
      <c r="BU2054" s="2"/>
    </row>
    <row r="2055" spans="68:73" x14ac:dyDescent="0.25">
      <c r="BP2055" s="2"/>
      <c r="BQ2055" s="2"/>
      <c r="BR2055" s="2"/>
      <c r="BS2055" s="2"/>
      <c r="BT2055" s="2"/>
      <c r="BU2055" s="2"/>
    </row>
    <row r="2056" spans="68:73" x14ac:dyDescent="0.25">
      <c r="BP2056" s="2"/>
      <c r="BQ2056" s="2"/>
      <c r="BR2056" s="2"/>
      <c r="BS2056" s="2"/>
      <c r="BT2056" s="2"/>
      <c r="BU2056" s="2"/>
    </row>
    <row r="2057" spans="68:73" x14ac:dyDescent="0.25">
      <c r="BP2057" s="2"/>
      <c r="BQ2057" s="2"/>
      <c r="BR2057" s="2"/>
      <c r="BS2057" s="2"/>
      <c r="BT2057" s="2"/>
      <c r="BU2057" s="2"/>
    </row>
    <row r="2058" spans="68:73" x14ac:dyDescent="0.25">
      <c r="BP2058" s="2"/>
      <c r="BQ2058" s="2"/>
      <c r="BR2058" s="2"/>
      <c r="BS2058" s="2"/>
      <c r="BT2058" s="2"/>
      <c r="BU2058" s="2"/>
    </row>
    <row r="2059" spans="68:73" x14ac:dyDescent="0.25">
      <c r="BP2059" s="2"/>
      <c r="BQ2059" s="2"/>
      <c r="BR2059" s="2"/>
      <c r="BS2059" s="2"/>
      <c r="BT2059" s="2"/>
      <c r="BU2059" s="2"/>
    </row>
    <row r="2060" spans="68:73" x14ac:dyDescent="0.25">
      <c r="BP2060" s="2"/>
      <c r="BQ2060" s="2"/>
      <c r="BR2060" s="2"/>
      <c r="BS2060" s="2"/>
      <c r="BT2060" s="2"/>
      <c r="BU2060" s="2"/>
    </row>
    <row r="2061" spans="68:73" x14ac:dyDescent="0.25">
      <c r="BP2061" s="2"/>
      <c r="BQ2061" s="2"/>
      <c r="BR2061" s="2"/>
      <c r="BS2061" s="2"/>
      <c r="BT2061" s="2"/>
      <c r="BU2061" s="2"/>
    </row>
    <row r="2062" spans="68:73" x14ac:dyDescent="0.25">
      <c r="BP2062" s="2"/>
      <c r="BQ2062" s="2"/>
      <c r="BR2062" s="2"/>
      <c r="BS2062" s="2"/>
      <c r="BT2062" s="2"/>
      <c r="BU2062" s="2"/>
    </row>
    <row r="2063" spans="68:73" x14ac:dyDescent="0.25">
      <c r="BP2063" s="2"/>
      <c r="BQ2063" s="2"/>
      <c r="BR2063" s="2"/>
      <c r="BS2063" s="2"/>
      <c r="BT2063" s="2"/>
      <c r="BU2063" s="2"/>
    </row>
    <row r="2064" spans="68:73" x14ac:dyDescent="0.25">
      <c r="BP2064" s="2"/>
      <c r="BQ2064" s="2"/>
      <c r="BR2064" s="2"/>
      <c r="BS2064" s="2"/>
      <c r="BT2064" s="2"/>
      <c r="BU2064" s="2"/>
    </row>
    <row r="2065" spans="68:73" x14ac:dyDescent="0.25">
      <c r="BP2065" s="2"/>
      <c r="BQ2065" s="2"/>
      <c r="BR2065" s="2"/>
      <c r="BS2065" s="2"/>
      <c r="BT2065" s="2"/>
      <c r="BU2065" s="2"/>
    </row>
    <row r="2066" spans="68:73" x14ac:dyDescent="0.25">
      <c r="BP2066" s="2"/>
      <c r="BQ2066" s="2"/>
      <c r="BR2066" s="2"/>
      <c r="BS2066" s="2"/>
      <c r="BT2066" s="2"/>
      <c r="BU2066" s="2"/>
    </row>
    <row r="2067" spans="68:73" x14ac:dyDescent="0.25">
      <c r="BP2067" s="2"/>
      <c r="BQ2067" s="2"/>
      <c r="BR2067" s="2"/>
      <c r="BS2067" s="2"/>
      <c r="BT2067" s="2"/>
      <c r="BU2067" s="2"/>
    </row>
    <row r="2068" spans="68:73" x14ac:dyDescent="0.25">
      <c r="BP2068" s="2"/>
      <c r="BQ2068" s="2"/>
      <c r="BR2068" s="2"/>
      <c r="BS2068" s="2"/>
      <c r="BT2068" s="2"/>
      <c r="BU2068" s="2"/>
    </row>
    <row r="2069" spans="68:73" x14ac:dyDescent="0.25">
      <c r="BP2069" s="2"/>
      <c r="BQ2069" s="2"/>
      <c r="BR2069" s="2"/>
      <c r="BS2069" s="2"/>
      <c r="BT2069" s="2"/>
      <c r="BU2069" s="2"/>
    </row>
    <row r="2070" spans="68:73" x14ac:dyDescent="0.25">
      <c r="BP2070" s="2"/>
      <c r="BQ2070" s="2"/>
      <c r="BR2070" s="2"/>
      <c r="BS2070" s="2"/>
      <c r="BT2070" s="2"/>
      <c r="BU2070" s="2"/>
    </row>
    <row r="2071" spans="68:73" x14ac:dyDescent="0.25">
      <c r="BP2071" s="2"/>
      <c r="BQ2071" s="2"/>
      <c r="BR2071" s="2"/>
      <c r="BS2071" s="2"/>
      <c r="BT2071" s="2"/>
      <c r="BU2071" s="2"/>
    </row>
    <row r="2072" spans="68:73" x14ac:dyDescent="0.25">
      <c r="BP2072" s="2"/>
      <c r="BQ2072" s="2"/>
      <c r="BR2072" s="2"/>
      <c r="BS2072" s="2"/>
      <c r="BT2072" s="2"/>
      <c r="BU2072" s="2"/>
    </row>
    <row r="2073" spans="68:73" x14ac:dyDescent="0.25">
      <c r="BP2073" s="2"/>
      <c r="BQ2073" s="2"/>
      <c r="BR2073" s="2"/>
      <c r="BS2073" s="2"/>
      <c r="BT2073" s="2"/>
      <c r="BU2073" s="2"/>
    </row>
    <row r="2074" spans="68:73" x14ac:dyDescent="0.25">
      <c r="BP2074" s="2"/>
      <c r="BQ2074" s="2"/>
      <c r="BR2074" s="2"/>
      <c r="BS2074" s="2"/>
      <c r="BT2074" s="2"/>
      <c r="BU2074" s="2"/>
    </row>
    <row r="2075" spans="68:73" x14ac:dyDescent="0.25">
      <c r="BP2075" s="2"/>
      <c r="BQ2075" s="2"/>
      <c r="BR2075" s="2"/>
      <c r="BS2075" s="2"/>
      <c r="BT2075" s="2"/>
      <c r="BU2075" s="2"/>
    </row>
    <row r="2076" spans="68:73" x14ac:dyDescent="0.25">
      <c r="BP2076" s="2"/>
      <c r="BQ2076" s="2"/>
      <c r="BR2076" s="2"/>
      <c r="BS2076" s="2"/>
      <c r="BT2076" s="2"/>
      <c r="BU2076" s="2"/>
    </row>
    <row r="2077" spans="68:73" x14ac:dyDescent="0.25">
      <c r="BP2077" s="2"/>
      <c r="BQ2077" s="2"/>
      <c r="BR2077" s="2"/>
      <c r="BS2077" s="2"/>
      <c r="BT2077" s="2"/>
      <c r="BU2077" s="2"/>
    </row>
    <row r="2078" spans="68:73" x14ac:dyDescent="0.25">
      <c r="BP2078" s="2"/>
      <c r="BQ2078" s="2"/>
      <c r="BR2078" s="2"/>
      <c r="BS2078" s="2"/>
      <c r="BT2078" s="2"/>
      <c r="BU2078" s="2"/>
    </row>
    <row r="2079" spans="68:73" x14ac:dyDescent="0.25">
      <c r="BP2079" s="2"/>
      <c r="BQ2079" s="2"/>
      <c r="BR2079" s="2"/>
      <c r="BS2079" s="2"/>
      <c r="BT2079" s="2"/>
      <c r="BU2079" s="2"/>
    </row>
    <row r="2080" spans="68:73" x14ac:dyDescent="0.25">
      <c r="BP2080" s="2"/>
      <c r="BQ2080" s="2"/>
      <c r="BR2080" s="2"/>
      <c r="BS2080" s="2"/>
      <c r="BT2080" s="2"/>
      <c r="BU2080" s="2"/>
    </row>
    <row r="2081" spans="68:73" x14ac:dyDescent="0.25">
      <c r="BP2081" s="2"/>
      <c r="BQ2081" s="2"/>
      <c r="BR2081" s="2"/>
      <c r="BS2081" s="2"/>
      <c r="BT2081" s="2"/>
      <c r="BU2081" s="2"/>
    </row>
    <row r="2082" spans="68:73" x14ac:dyDescent="0.25">
      <c r="BP2082" s="2"/>
      <c r="BQ2082" s="2"/>
      <c r="BR2082" s="2"/>
      <c r="BS2082" s="2"/>
      <c r="BT2082" s="2"/>
      <c r="BU2082" s="2"/>
    </row>
    <row r="2083" spans="68:73" x14ac:dyDescent="0.25">
      <c r="BP2083" s="2"/>
      <c r="BQ2083" s="2"/>
      <c r="BR2083" s="2"/>
      <c r="BS2083" s="2"/>
      <c r="BT2083" s="2"/>
      <c r="BU2083" s="2"/>
    </row>
    <row r="2084" spans="68:73" x14ac:dyDescent="0.25">
      <c r="BP2084" s="2"/>
      <c r="BQ2084" s="2"/>
      <c r="BR2084" s="2"/>
      <c r="BS2084" s="2"/>
      <c r="BT2084" s="2"/>
      <c r="BU2084" s="2"/>
    </row>
    <row r="2085" spans="68:73" x14ac:dyDescent="0.25">
      <c r="BP2085" s="2"/>
      <c r="BQ2085" s="2"/>
      <c r="BR2085" s="2"/>
      <c r="BS2085" s="2"/>
      <c r="BT2085" s="2"/>
      <c r="BU2085" s="2"/>
    </row>
    <row r="2086" spans="68:73" x14ac:dyDescent="0.25">
      <c r="BP2086" s="2"/>
      <c r="BQ2086" s="2"/>
      <c r="BR2086" s="2"/>
      <c r="BS2086" s="2"/>
      <c r="BT2086" s="2"/>
      <c r="BU2086" s="2"/>
    </row>
    <row r="2087" spans="68:73" x14ac:dyDescent="0.25">
      <c r="BP2087" s="2"/>
      <c r="BQ2087" s="2"/>
      <c r="BR2087" s="2"/>
      <c r="BS2087" s="2"/>
      <c r="BT2087" s="2"/>
      <c r="BU2087" s="2"/>
    </row>
    <row r="2088" spans="68:73" x14ac:dyDescent="0.25">
      <c r="BP2088" s="2"/>
      <c r="BQ2088" s="2"/>
      <c r="BR2088" s="2"/>
      <c r="BS2088" s="2"/>
      <c r="BT2088" s="2"/>
      <c r="BU2088" s="2"/>
    </row>
    <row r="2089" spans="68:73" x14ac:dyDescent="0.25">
      <c r="BP2089" s="2"/>
      <c r="BQ2089" s="2"/>
      <c r="BR2089" s="2"/>
      <c r="BS2089" s="2"/>
      <c r="BT2089" s="2"/>
      <c r="BU2089" s="2"/>
    </row>
    <row r="2090" spans="68:73" x14ac:dyDescent="0.25">
      <c r="BP2090" s="2"/>
      <c r="BQ2090" s="2"/>
      <c r="BR2090" s="2"/>
      <c r="BS2090" s="2"/>
      <c r="BT2090" s="2"/>
      <c r="BU2090" s="2"/>
    </row>
    <row r="2091" spans="68:73" x14ac:dyDescent="0.25">
      <c r="BP2091" s="2"/>
      <c r="BQ2091" s="2"/>
      <c r="BR2091" s="2"/>
      <c r="BS2091" s="2"/>
      <c r="BT2091" s="2"/>
      <c r="BU2091" s="2"/>
    </row>
    <row r="2092" spans="68:73" x14ac:dyDescent="0.25">
      <c r="BP2092" s="2"/>
      <c r="BQ2092" s="2"/>
      <c r="BR2092" s="2"/>
      <c r="BS2092" s="2"/>
      <c r="BT2092" s="2"/>
      <c r="BU2092" s="2"/>
    </row>
    <row r="2093" spans="68:73" x14ac:dyDescent="0.25">
      <c r="BP2093" s="2"/>
      <c r="BQ2093" s="2"/>
      <c r="BR2093" s="2"/>
      <c r="BS2093" s="2"/>
      <c r="BT2093" s="2"/>
      <c r="BU2093" s="2"/>
    </row>
    <row r="2094" spans="68:73" x14ac:dyDescent="0.25">
      <c r="BP2094" s="2"/>
      <c r="BQ2094" s="2"/>
      <c r="BR2094" s="2"/>
      <c r="BS2094" s="2"/>
      <c r="BT2094" s="2"/>
      <c r="BU2094" s="2"/>
    </row>
    <row r="2095" spans="68:73" x14ac:dyDescent="0.25">
      <c r="BP2095" s="2"/>
      <c r="BQ2095" s="2"/>
      <c r="BR2095" s="2"/>
      <c r="BS2095" s="2"/>
      <c r="BT2095" s="2"/>
      <c r="BU2095" s="2"/>
    </row>
    <row r="2096" spans="68:73" x14ac:dyDescent="0.25">
      <c r="BP2096" s="2"/>
      <c r="BQ2096" s="2"/>
      <c r="BR2096" s="2"/>
      <c r="BS2096" s="2"/>
      <c r="BT2096" s="2"/>
      <c r="BU2096" s="2"/>
    </row>
    <row r="2097" spans="68:73" x14ac:dyDescent="0.25">
      <c r="BP2097" s="2"/>
      <c r="BQ2097" s="2"/>
      <c r="BR2097" s="2"/>
      <c r="BS2097" s="2"/>
      <c r="BT2097" s="2"/>
      <c r="BU2097" s="2"/>
    </row>
    <row r="2098" spans="68:73" x14ac:dyDescent="0.25">
      <c r="BP2098" s="2"/>
      <c r="BQ2098" s="2"/>
      <c r="BR2098" s="2"/>
      <c r="BS2098" s="2"/>
      <c r="BT2098" s="2"/>
      <c r="BU2098" s="2"/>
    </row>
    <row r="2099" spans="68:73" x14ac:dyDescent="0.25">
      <c r="BP2099" s="2"/>
      <c r="BQ2099" s="2"/>
      <c r="BR2099" s="2"/>
      <c r="BS2099" s="2"/>
      <c r="BT2099" s="2"/>
      <c r="BU2099" s="2"/>
    </row>
    <row r="2100" spans="68:73" x14ac:dyDescent="0.25">
      <c r="BP2100" s="2"/>
      <c r="BQ2100" s="2"/>
      <c r="BR2100" s="2"/>
      <c r="BS2100" s="2"/>
      <c r="BT2100" s="2"/>
      <c r="BU2100" s="2"/>
    </row>
    <row r="2101" spans="68:73" x14ac:dyDescent="0.25">
      <c r="BP2101" s="2"/>
      <c r="BQ2101" s="2"/>
      <c r="BR2101" s="2"/>
      <c r="BS2101" s="2"/>
      <c r="BT2101" s="2"/>
      <c r="BU2101" s="2"/>
    </row>
    <row r="2102" spans="68:73" x14ac:dyDescent="0.25">
      <c r="BP2102" s="2"/>
      <c r="BQ2102" s="2"/>
      <c r="BR2102" s="2"/>
      <c r="BS2102" s="2"/>
      <c r="BT2102" s="2"/>
      <c r="BU2102" s="2"/>
    </row>
    <row r="2103" spans="68:73" x14ac:dyDescent="0.25">
      <c r="BP2103" s="2"/>
      <c r="BQ2103" s="2"/>
      <c r="BR2103" s="2"/>
      <c r="BS2103" s="2"/>
      <c r="BT2103" s="2"/>
      <c r="BU2103" s="2"/>
    </row>
    <row r="2104" spans="68:73" x14ac:dyDescent="0.25">
      <c r="BP2104" s="2"/>
      <c r="BQ2104" s="2"/>
      <c r="BR2104" s="2"/>
      <c r="BS2104" s="2"/>
      <c r="BT2104" s="2"/>
      <c r="BU2104" s="2"/>
    </row>
    <row r="2105" spans="68:73" x14ac:dyDescent="0.25">
      <c r="BP2105" s="2"/>
      <c r="BQ2105" s="2"/>
      <c r="BR2105" s="2"/>
      <c r="BS2105" s="2"/>
      <c r="BT2105" s="2"/>
      <c r="BU2105" s="2"/>
    </row>
    <row r="2106" spans="68:73" x14ac:dyDescent="0.25">
      <c r="BP2106" s="2"/>
      <c r="BQ2106" s="2"/>
      <c r="BR2106" s="2"/>
      <c r="BS2106" s="2"/>
      <c r="BT2106" s="2"/>
      <c r="BU2106" s="2"/>
    </row>
    <row r="2107" spans="68:73" x14ac:dyDescent="0.25">
      <c r="BP2107" s="2"/>
      <c r="BQ2107" s="2"/>
      <c r="BR2107" s="2"/>
      <c r="BS2107" s="2"/>
      <c r="BT2107" s="2"/>
      <c r="BU2107" s="2"/>
    </row>
    <row r="2108" spans="68:73" x14ac:dyDescent="0.25">
      <c r="BP2108" s="2"/>
      <c r="BQ2108" s="2"/>
      <c r="BR2108" s="2"/>
      <c r="BS2108" s="2"/>
      <c r="BT2108" s="2"/>
      <c r="BU2108" s="2"/>
    </row>
    <row r="2109" spans="68:73" x14ac:dyDescent="0.25">
      <c r="BP2109" s="2"/>
      <c r="BQ2109" s="2"/>
      <c r="BR2109" s="2"/>
      <c r="BS2109" s="2"/>
      <c r="BT2109" s="2"/>
      <c r="BU2109" s="2"/>
    </row>
    <row r="2110" spans="68:73" x14ac:dyDescent="0.25">
      <c r="BP2110" s="2"/>
      <c r="BQ2110" s="2"/>
      <c r="BR2110" s="2"/>
      <c r="BS2110" s="2"/>
      <c r="BT2110" s="2"/>
      <c r="BU2110" s="2"/>
    </row>
    <row r="2111" spans="68:73" x14ac:dyDescent="0.25">
      <c r="BP2111" s="2"/>
      <c r="BQ2111" s="2"/>
      <c r="BR2111" s="2"/>
      <c r="BS2111" s="2"/>
      <c r="BT2111" s="2"/>
      <c r="BU2111" s="2"/>
    </row>
    <row r="2112" spans="68:73" x14ac:dyDescent="0.25">
      <c r="BP2112" s="2"/>
      <c r="BQ2112" s="2"/>
      <c r="BR2112" s="2"/>
      <c r="BS2112" s="2"/>
      <c r="BT2112" s="2"/>
      <c r="BU2112" s="2"/>
    </row>
    <row r="2113" spans="68:73" x14ac:dyDescent="0.25">
      <c r="BP2113" s="2"/>
      <c r="BQ2113" s="2"/>
      <c r="BR2113" s="2"/>
      <c r="BS2113" s="2"/>
      <c r="BT2113" s="2"/>
      <c r="BU2113" s="2"/>
    </row>
    <row r="2114" spans="68:73" x14ac:dyDescent="0.25">
      <c r="BP2114" s="2"/>
      <c r="BQ2114" s="2"/>
      <c r="BR2114" s="2"/>
      <c r="BS2114" s="2"/>
      <c r="BT2114" s="2"/>
      <c r="BU2114" s="2"/>
    </row>
    <row r="2115" spans="68:73" x14ac:dyDescent="0.25">
      <c r="BP2115" s="2"/>
      <c r="BQ2115" s="2"/>
      <c r="BR2115" s="2"/>
      <c r="BS2115" s="2"/>
      <c r="BT2115" s="2"/>
      <c r="BU2115" s="2"/>
    </row>
    <row r="2116" spans="68:73" x14ac:dyDescent="0.25">
      <c r="BP2116" s="2"/>
      <c r="BQ2116" s="2"/>
      <c r="BR2116" s="2"/>
      <c r="BS2116" s="2"/>
      <c r="BT2116" s="2"/>
      <c r="BU2116" s="2"/>
    </row>
    <row r="2117" spans="68:73" x14ac:dyDescent="0.25">
      <c r="BP2117" s="2"/>
      <c r="BQ2117" s="2"/>
      <c r="BR2117" s="2"/>
      <c r="BS2117" s="2"/>
      <c r="BT2117" s="2"/>
      <c r="BU2117" s="2"/>
    </row>
    <row r="2118" spans="68:73" x14ac:dyDescent="0.25">
      <c r="BP2118" s="2"/>
      <c r="BQ2118" s="2"/>
      <c r="BR2118" s="2"/>
      <c r="BS2118" s="2"/>
      <c r="BT2118" s="2"/>
      <c r="BU2118" s="2"/>
    </row>
    <row r="2119" spans="68:73" x14ac:dyDescent="0.25">
      <c r="BP2119" s="2"/>
      <c r="BQ2119" s="2"/>
      <c r="BR2119" s="2"/>
      <c r="BS2119" s="2"/>
      <c r="BT2119" s="2"/>
      <c r="BU2119" s="2"/>
    </row>
    <row r="2120" spans="68:73" x14ac:dyDescent="0.25">
      <c r="BP2120" s="2"/>
      <c r="BQ2120" s="2"/>
      <c r="BR2120" s="2"/>
      <c r="BS2120" s="2"/>
      <c r="BT2120" s="2"/>
      <c r="BU2120" s="2"/>
    </row>
    <row r="2121" spans="68:73" x14ac:dyDescent="0.25">
      <c r="BP2121" s="2"/>
      <c r="BQ2121" s="2"/>
      <c r="BR2121" s="2"/>
      <c r="BS2121" s="2"/>
      <c r="BT2121" s="2"/>
      <c r="BU2121" s="2"/>
    </row>
    <row r="2122" spans="68:73" x14ac:dyDescent="0.25">
      <c r="BP2122" s="2"/>
      <c r="BQ2122" s="2"/>
      <c r="BR2122" s="2"/>
      <c r="BS2122" s="2"/>
      <c r="BT2122" s="2"/>
      <c r="BU2122" s="2"/>
    </row>
    <row r="2123" spans="68:73" x14ac:dyDescent="0.25">
      <c r="BP2123" s="2"/>
      <c r="BQ2123" s="2"/>
      <c r="BR2123" s="2"/>
      <c r="BS2123" s="2"/>
      <c r="BT2123" s="2"/>
      <c r="BU2123" s="2"/>
    </row>
    <row r="2124" spans="68:73" x14ac:dyDescent="0.25">
      <c r="BP2124" s="2"/>
      <c r="BQ2124" s="2"/>
      <c r="BR2124" s="2"/>
      <c r="BS2124" s="2"/>
      <c r="BT2124" s="2"/>
      <c r="BU2124" s="2"/>
    </row>
    <row r="2125" spans="68:73" x14ac:dyDescent="0.25">
      <c r="BP2125" s="2"/>
      <c r="BQ2125" s="2"/>
      <c r="BR2125" s="2"/>
      <c r="BS2125" s="2"/>
      <c r="BT2125" s="2"/>
      <c r="BU2125" s="2"/>
    </row>
    <row r="2126" spans="68:73" x14ac:dyDescent="0.25">
      <c r="BP2126" s="2"/>
      <c r="BQ2126" s="2"/>
      <c r="BR2126" s="2"/>
      <c r="BS2126" s="2"/>
      <c r="BT2126" s="2"/>
      <c r="BU2126" s="2"/>
    </row>
    <row r="2127" spans="68:73" x14ac:dyDescent="0.25">
      <c r="BP2127" s="2"/>
      <c r="BQ2127" s="2"/>
      <c r="BR2127" s="2"/>
      <c r="BS2127" s="2"/>
      <c r="BT2127" s="2"/>
      <c r="BU2127" s="2"/>
    </row>
    <row r="2128" spans="68:73" x14ac:dyDescent="0.25">
      <c r="BP2128" s="2"/>
      <c r="BQ2128" s="2"/>
      <c r="BR2128" s="2"/>
      <c r="BS2128" s="2"/>
      <c r="BT2128" s="2"/>
      <c r="BU2128" s="2"/>
    </row>
    <row r="2129" spans="68:73" x14ac:dyDescent="0.25">
      <c r="BP2129" s="2"/>
      <c r="BQ2129" s="2"/>
      <c r="BR2129" s="2"/>
      <c r="BS2129" s="2"/>
      <c r="BT2129" s="2"/>
      <c r="BU2129" s="2"/>
    </row>
    <row r="2130" spans="68:73" x14ac:dyDescent="0.25">
      <c r="BP2130" s="2"/>
      <c r="BQ2130" s="2"/>
      <c r="BR2130" s="2"/>
      <c r="BS2130" s="2"/>
      <c r="BT2130" s="2"/>
      <c r="BU2130" s="2"/>
    </row>
    <row r="2131" spans="68:73" x14ac:dyDescent="0.25">
      <c r="BP2131" s="2"/>
      <c r="BQ2131" s="2"/>
      <c r="BR2131" s="2"/>
      <c r="BS2131" s="2"/>
      <c r="BT2131" s="2"/>
      <c r="BU2131" s="2"/>
    </row>
    <row r="2132" spans="68:73" x14ac:dyDescent="0.25">
      <c r="BP2132" s="2"/>
      <c r="BQ2132" s="2"/>
      <c r="BR2132" s="2"/>
      <c r="BS2132" s="2"/>
      <c r="BT2132" s="2"/>
      <c r="BU2132" s="2"/>
    </row>
    <row r="2133" spans="68:73" x14ac:dyDescent="0.25">
      <c r="BP2133" s="2"/>
      <c r="BQ2133" s="2"/>
      <c r="BR2133" s="2"/>
      <c r="BS2133" s="2"/>
      <c r="BT2133" s="2"/>
      <c r="BU2133" s="2"/>
    </row>
    <row r="2134" spans="68:73" x14ac:dyDescent="0.25">
      <c r="BP2134" s="2"/>
      <c r="BQ2134" s="2"/>
      <c r="BR2134" s="2"/>
      <c r="BS2134" s="2"/>
      <c r="BT2134" s="2"/>
      <c r="BU2134" s="2"/>
    </row>
    <row r="2135" spans="68:73" x14ac:dyDescent="0.25">
      <c r="BP2135" s="2"/>
      <c r="BQ2135" s="2"/>
      <c r="BR2135" s="2"/>
      <c r="BS2135" s="2"/>
      <c r="BT2135" s="2"/>
      <c r="BU2135" s="2"/>
    </row>
    <row r="2136" spans="68:73" x14ac:dyDescent="0.25">
      <c r="BP2136" s="2"/>
      <c r="BQ2136" s="2"/>
      <c r="BR2136" s="2"/>
      <c r="BS2136" s="2"/>
      <c r="BT2136" s="2"/>
      <c r="BU2136" s="2"/>
    </row>
    <row r="2137" spans="68:73" x14ac:dyDescent="0.25">
      <c r="BP2137" s="2"/>
      <c r="BQ2137" s="2"/>
      <c r="BR2137" s="2"/>
      <c r="BS2137" s="2"/>
      <c r="BT2137" s="2"/>
      <c r="BU2137" s="2"/>
    </row>
    <row r="2138" spans="68:73" x14ac:dyDescent="0.25">
      <c r="BP2138" s="2"/>
      <c r="BQ2138" s="2"/>
      <c r="BR2138" s="2"/>
      <c r="BS2138" s="2"/>
      <c r="BT2138" s="2"/>
      <c r="BU2138" s="2"/>
    </row>
    <row r="2139" spans="68:73" x14ac:dyDescent="0.25">
      <c r="BP2139" s="2"/>
      <c r="BQ2139" s="2"/>
      <c r="BR2139" s="2"/>
      <c r="BS2139" s="2"/>
      <c r="BT2139" s="2"/>
      <c r="BU2139" s="2"/>
    </row>
    <row r="2140" spans="68:73" x14ac:dyDescent="0.25">
      <c r="BP2140" s="2"/>
      <c r="BQ2140" s="2"/>
      <c r="BR2140" s="2"/>
      <c r="BS2140" s="2"/>
      <c r="BT2140" s="2"/>
      <c r="BU2140" s="2"/>
    </row>
    <row r="2141" spans="68:73" x14ac:dyDescent="0.25">
      <c r="BP2141" s="2"/>
      <c r="BQ2141" s="2"/>
      <c r="BR2141" s="2"/>
      <c r="BS2141" s="2"/>
      <c r="BT2141" s="2"/>
      <c r="BU2141" s="2"/>
    </row>
    <row r="2142" spans="68:73" x14ac:dyDescent="0.25">
      <c r="BP2142" s="2"/>
      <c r="BQ2142" s="2"/>
      <c r="BR2142" s="2"/>
      <c r="BS2142" s="2"/>
      <c r="BT2142" s="2"/>
      <c r="BU2142" s="2"/>
    </row>
    <row r="2143" spans="68:73" x14ac:dyDescent="0.25">
      <c r="BP2143" s="2"/>
      <c r="BQ2143" s="2"/>
      <c r="BR2143" s="2"/>
      <c r="BS2143" s="2"/>
      <c r="BT2143" s="2"/>
      <c r="BU2143" s="2"/>
    </row>
    <row r="2144" spans="68:73" x14ac:dyDescent="0.25">
      <c r="BP2144" s="2"/>
      <c r="BQ2144" s="2"/>
      <c r="BR2144" s="2"/>
      <c r="BS2144" s="2"/>
      <c r="BT2144" s="2"/>
      <c r="BU2144" s="2"/>
    </row>
    <row r="2145" spans="68:73" x14ac:dyDescent="0.25">
      <c r="BP2145" s="2"/>
      <c r="BQ2145" s="2"/>
      <c r="BR2145" s="2"/>
      <c r="BS2145" s="2"/>
      <c r="BT2145" s="2"/>
      <c r="BU2145" s="2"/>
    </row>
    <row r="2146" spans="68:73" x14ac:dyDescent="0.25">
      <c r="BP2146" s="2"/>
      <c r="BQ2146" s="2"/>
      <c r="BR2146" s="2"/>
      <c r="BS2146" s="2"/>
      <c r="BT2146" s="2"/>
      <c r="BU2146" s="2"/>
    </row>
    <row r="2147" spans="68:73" x14ac:dyDescent="0.25">
      <c r="BP2147" s="2"/>
      <c r="BQ2147" s="2"/>
      <c r="BR2147" s="2"/>
      <c r="BS2147" s="2"/>
      <c r="BT2147" s="2"/>
      <c r="BU2147" s="2"/>
    </row>
    <row r="2148" spans="68:73" x14ac:dyDescent="0.25">
      <c r="BP2148" s="2"/>
      <c r="BQ2148" s="2"/>
      <c r="BR2148" s="2"/>
      <c r="BS2148" s="2"/>
      <c r="BT2148" s="2"/>
      <c r="BU2148" s="2"/>
    </row>
    <row r="2149" spans="68:73" x14ac:dyDescent="0.25">
      <c r="BP2149" s="2"/>
      <c r="BQ2149" s="2"/>
      <c r="BR2149" s="2"/>
      <c r="BS2149" s="2"/>
      <c r="BT2149" s="2"/>
      <c r="BU2149" s="2"/>
    </row>
    <row r="2150" spans="68:73" x14ac:dyDescent="0.25">
      <c r="BP2150" s="2"/>
      <c r="BQ2150" s="2"/>
      <c r="BR2150" s="2"/>
      <c r="BS2150" s="2"/>
      <c r="BT2150" s="2"/>
      <c r="BU2150" s="2"/>
    </row>
    <row r="2151" spans="68:73" x14ac:dyDescent="0.25">
      <c r="BP2151" s="2"/>
      <c r="BQ2151" s="2"/>
      <c r="BR2151" s="2"/>
      <c r="BS2151" s="2"/>
      <c r="BT2151" s="2"/>
      <c r="BU2151" s="2"/>
    </row>
    <row r="2152" spans="68:73" x14ac:dyDescent="0.25">
      <c r="BP2152" s="2"/>
      <c r="BQ2152" s="2"/>
      <c r="BR2152" s="2"/>
      <c r="BS2152" s="2"/>
      <c r="BT2152" s="2"/>
      <c r="BU2152" s="2"/>
    </row>
    <row r="2153" spans="68:73" x14ac:dyDescent="0.25">
      <c r="BP2153" s="2"/>
      <c r="BQ2153" s="2"/>
      <c r="BR2153" s="2"/>
      <c r="BS2153" s="2"/>
      <c r="BT2153" s="2"/>
      <c r="BU2153" s="2"/>
    </row>
    <row r="2154" spans="68:73" x14ac:dyDescent="0.25">
      <c r="BP2154" s="2"/>
      <c r="BQ2154" s="2"/>
      <c r="BR2154" s="2"/>
      <c r="BS2154" s="2"/>
      <c r="BT2154" s="2"/>
      <c r="BU2154" s="2"/>
    </row>
    <row r="2155" spans="68:73" x14ac:dyDescent="0.25">
      <c r="BP2155" s="2"/>
      <c r="BQ2155" s="2"/>
      <c r="BR2155" s="2"/>
      <c r="BS2155" s="2"/>
      <c r="BT2155" s="2"/>
      <c r="BU2155" s="2"/>
    </row>
    <row r="2156" spans="68:73" x14ac:dyDescent="0.25">
      <c r="BP2156" s="2"/>
      <c r="BQ2156" s="2"/>
      <c r="BR2156" s="2"/>
      <c r="BS2156" s="2"/>
      <c r="BT2156" s="2"/>
      <c r="BU2156" s="2"/>
    </row>
    <row r="2157" spans="68:73" x14ac:dyDescent="0.25">
      <c r="BP2157" s="2"/>
      <c r="BQ2157" s="2"/>
      <c r="BR2157" s="2"/>
      <c r="BS2157" s="2"/>
      <c r="BT2157" s="2"/>
      <c r="BU2157" s="2"/>
    </row>
    <row r="2158" spans="68:73" x14ac:dyDescent="0.25">
      <c r="BP2158" s="2"/>
      <c r="BQ2158" s="2"/>
      <c r="BR2158" s="2"/>
      <c r="BS2158" s="2"/>
      <c r="BT2158" s="2"/>
      <c r="BU2158" s="2"/>
    </row>
    <row r="2159" spans="68:73" x14ac:dyDescent="0.25">
      <c r="BP2159" s="2"/>
      <c r="BQ2159" s="2"/>
      <c r="BR2159" s="2"/>
      <c r="BS2159" s="2"/>
      <c r="BT2159" s="2"/>
      <c r="BU2159" s="2"/>
    </row>
    <row r="2160" spans="68:73" x14ac:dyDescent="0.25">
      <c r="BP2160" s="2"/>
      <c r="BQ2160" s="2"/>
      <c r="BR2160" s="2"/>
      <c r="BS2160" s="2"/>
      <c r="BT2160" s="2"/>
      <c r="BU2160" s="2"/>
    </row>
    <row r="2161" spans="68:73" x14ac:dyDescent="0.25">
      <c r="BP2161" s="2"/>
      <c r="BQ2161" s="2"/>
      <c r="BR2161" s="2"/>
      <c r="BS2161" s="2"/>
      <c r="BT2161" s="2"/>
      <c r="BU2161" s="2"/>
    </row>
    <row r="2162" spans="68:73" x14ac:dyDescent="0.25">
      <c r="BP2162" s="2"/>
      <c r="BQ2162" s="2"/>
      <c r="BR2162" s="2"/>
      <c r="BS2162" s="2"/>
      <c r="BT2162" s="2"/>
      <c r="BU2162" s="2"/>
    </row>
    <row r="2163" spans="68:73" x14ac:dyDescent="0.25">
      <c r="BP2163" s="2"/>
      <c r="BQ2163" s="2"/>
      <c r="BR2163" s="2"/>
      <c r="BS2163" s="2"/>
      <c r="BT2163" s="2"/>
      <c r="BU2163" s="2"/>
    </row>
    <row r="2164" spans="68:73" x14ac:dyDescent="0.25">
      <c r="BP2164" s="2"/>
      <c r="BQ2164" s="2"/>
      <c r="BR2164" s="2"/>
      <c r="BS2164" s="2"/>
      <c r="BT2164" s="2"/>
      <c r="BU2164" s="2"/>
    </row>
    <row r="2165" spans="68:73" x14ac:dyDescent="0.25">
      <c r="BP2165" s="2"/>
      <c r="BQ2165" s="2"/>
      <c r="BR2165" s="2"/>
      <c r="BS2165" s="2"/>
      <c r="BT2165" s="2"/>
      <c r="BU2165" s="2"/>
    </row>
    <row r="2166" spans="68:73" x14ac:dyDescent="0.25">
      <c r="BP2166" s="2"/>
      <c r="BQ2166" s="2"/>
      <c r="BR2166" s="2"/>
      <c r="BS2166" s="2"/>
      <c r="BT2166" s="2"/>
      <c r="BU2166" s="2"/>
    </row>
    <row r="2167" spans="68:73" x14ac:dyDescent="0.25">
      <c r="BP2167" s="2"/>
      <c r="BQ2167" s="2"/>
      <c r="BR2167" s="2"/>
      <c r="BS2167" s="2"/>
      <c r="BT2167" s="2"/>
      <c r="BU2167" s="2"/>
    </row>
    <row r="2168" spans="68:73" x14ac:dyDescent="0.25">
      <c r="BP2168" s="2"/>
      <c r="BQ2168" s="2"/>
      <c r="BR2168" s="2"/>
      <c r="BS2168" s="2"/>
      <c r="BT2168" s="2"/>
      <c r="BU2168" s="2"/>
    </row>
    <row r="2169" spans="68:73" x14ac:dyDescent="0.25">
      <c r="BP2169" s="2"/>
      <c r="BQ2169" s="2"/>
      <c r="BR2169" s="2"/>
      <c r="BS2169" s="2"/>
      <c r="BT2169" s="2"/>
      <c r="BU2169" s="2"/>
    </row>
    <row r="2170" spans="68:73" x14ac:dyDescent="0.25">
      <c r="BP2170" s="2"/>
      <c r="BQ2170" s="2"/>
      <c r="BR2170" s="2"/>
      <c r="BS2170" s="2"/>
      <c r="BT2170" s="2"/>
      <c r="BU2170" s="2"/>
    </row>
    <row r="2171" spans="68:73" x14ac:dyDescent="0.25">
      <c r="BP2171" s="2"/>
      <c r="BQ2171" s="2"/>
      <c r="BR2171" s="2"/>
      <c r="BS2171" s="2"/>
      <c r="BT2171" s="2"/>
      <c r="BU2171" s="2"/>
    </row>
    <row r="2172" spans="68:73" x14ac:dyDescent="0.25">
      <c r="BP2172" s="2"/>
      <c r="BQ2172" s="2"/>
      <c r="BR2172" s="2"/>
      <c r="BS2172" s="2"/>
      <c r="BT2172" s="2"/>
      <c r="BU2172" s="2"/>
    </row>
    <row r="2173" spans="68:73" x14ac:dyDescent="0.25">
      <c r="BP2173" s="2"/>
      <c r="BQ2173" s="2"/>
      <c r="BR2173" s="2"/>
      <c r="BS2173" s="2"/>
      <c r="BT2173" s="2"/>
      <c r="BU2173" s="2"/>
    </row>
    <row r="2174" spans="68:73" x14ac:dyDescent="0.25">
      <c r="BP2174" s="2"/>
      <c r="BQ2174" s="2"/>
      <c r="BR2174" s="2"/>
      <c r="BS2174" s="2"/>
      <c r="BT2174" s="2"/>
      <c r="BU2174" s="2"/>
    </row>
    <row r="2175" spans="68:73" x14ac:dyDescent="0.25">
      <c r="BP2175" s="2"/>
      <c r="BQ2175" s="2"/>
      <c r="BR2175" s="2"/>
      <c r="BS2175" s="2"/>
      <c r="BT2175" s="2"/>
      <c r="BU2175" s="2"/>
    </row>
    <row r="2176" spans="68:73" x14ac:dyDescent="0.25">
      <c r="BP2176" s="2"/>
      <c r="BQ2176" s="2"/>
      <c r="BR2176" s="2"/>
      <c r="BS2176" s="2"/>
      <c r="BT2176" s="2"/>
      <c r="BU2176" s="2"/>
    </row>
    <row r="2177" spans="68:73" x14ac:dyDescent="0.25">
      <c r="BP2177" s="2"/>
      <c r="BQ2177" s="2"/>
      <c r="BR2177" s="2"/>
      <c r="BS2177" s="2"/>
      <c r="BT2177" s="2"/>
      <c r="BU2177" s="2"/>
    </row>
    <row r="2178" spans="68:73" x14ac:dyDescent="0.25">
      <c r="BP2178" s="2"/>
      <c r="BQ2178" s="2"/>
      <c r="BR2178" s="2"/>
      <c r="BS2178" s="2"/>
      <c r="BT2178" s="2"/>
      <c r="BU2178" s="2"/>
    </row>
    <row r="2179" spans="68:73" x14ac:dyDescent="0.25">
      <c r="BP2179" s="2"/>
      <c r="BQ2179" s="2"/>
      <c r="BR2179" s="2"/>
      <c r="BS2179" s="2"/>
      <c r="BT2179" s="2"/>
      <c r="BU2179" s="2"/>
    </row>
    <row r="2180" spans="68:73" x14ac:dyDescent="0.25">
      <c r="BP2180" s="2"/>
      <c r="BQ2180" s="2"/>
      <c r="BR2180" s="2"/>
      <c r="BS2180" s="2"/>
      <c r="BT2180" s="2"/>
      <c r="BU2180" s="2"/>
    </row>
    <row r="2181" spans="68:73" x14ac:dyDescent="0.25">
      <c r="BP2181" s="2"/>
      <c r="BQ2181" s="2"/>
      <c r="BR2181" s="2"/>
      <c r="BS2181" s="2"/>
      <c r="BT2181" s="2"/>
      <c r="BU2181" s="2"/>
    </row>
    <row r="2182" spans="68:73" x14ac:dyDescent="0.25">
      <c r="BP2182" s="2"/>
      <c r="BQ2182" s="2"/>
      <c r="BR2182" s="2"/>
      <c r="BS2182" s="2"/>
      <c r="BT2182" s="2"/>
      <c r="BU2182" s="2"/>
    </row>
    <row r="2183" spans="68:73" x14ac:dyDescent="0.25">
      <c r="BP2183" s="2"/>
      <c r="BQ2183" s="2"/>
      <c r="BR2183" s="2"/>
      <c r="BS2183" s="2"/>
      <c r="BT2183" s="2"/>
      <c r="BU2183" s="2"/>
    </row>
    <row r="2184" spans="68:73" x14ac:dyDescent="0.25">
      <c r="BP2184" s="2"/>
      <c r="BQ2184" s="2"/>
      <c r="BR2184" s="2"/>
      <c r="BS2184" s="2"/>
      <c r="BT2184" s="2"/>
      <c r="BU2184" s="2"/>
    </row>
    <row r="2185" spans="68:73" x14ac:dyDescent="0.25">
      <c r="BP2185" s="2"/>
      <c r="BQ2185" s="2"/>
      <c r="BR2185" s="2"/>
      <c r="BS2185" s="2"/>
      <c r="BT2185" s="2"/>
      <c r="BU2185" s="2"/>
    </row>
    <row r="2186" spans="68:73" x14ac:dyDescent="0.25">
      <c r="BP2186" s="2"/>
      <c r="BQ2186" s="2"/>
      <c r="BR2186" s="2"/>
      <c r="BS2186" s="2"/>
      <c r="BT2186" s="2"/>
      <c r="BU2186" s="2"/>
    </row>
    <row r="2187" spans="68:73" x14ac:dyDescent="0.25">
      <c r="BP2187" s="2"/>
      <c r="BQ2187" s="2"/>
      <c r="BR2187" s="2"/>
      <c r="BS2187" s="2"/>
      <c r="BT2187" s="2"/>
      <c r="BU2187" s="2"/>
    </row>
    <row r="2188" spans="68:73" x14ac:dyDescent="0.25">
      <c r="BP2188" s="2"/>
      <c r="BQ2188" s="2"/>
      <c r="BR2188" s="2"/>
      <c r="BS2188" s="2"/>
      <c r="BT2188" s="2"/>
      <c r="BU2188" s="2"/>
    </row>
    <row r="2189" spans="68:73" x14ac:dyDescent="0.25">
      <c r="BP2189" s="2"/>
      <c r="BQ2189" s="2"/>
      <c r="BR2189" s="2"/>
      <c r="BS2189" s="2"/>
      <c r="BT2189" s="2"/>
      <c r="BU2189" s="2"/>
    </row>
    <row r="2190" spans="68:73" x14ac:dyDescent="0.25">
      <c r="BP2190" s="2"/>
      <c r="BQ2190" s="2"/>
      <c r="BR2190" s="2"/>
      <c r="BS2190" s="2"/>
      <c r="BT2190" s="2"/>
      <c r="BU2190" s="2"/>
    </row>
    <row r="2191" spans="68:73" x14ac:dyDescent="0.25">
      <c r="BP2191" s="2"/>
      <c r="BQ2191" s="2"/>
      <c r="BR2191" s="2"/>
      <c r="BS2191" s="2"/>
      <c r="BT2191" s="2"/>
      <c r="BU2191" s="2"/>
    </row>
    <row r="2192" spans="68:73" x14ac:dyDescent="0.25">
      <c r="BP2192" s="2"/>
      <c r="BQ2192" s="2"/>
      <c r="BR2192" s="2"/>
      <c r="BS2192" s="2"/>
      <c r="BT2192" s="2"/>
      <c r="BU2192" s="2"/>
    </row>
    <row r="2193" spans="68:73" x14ac:dyDescent="0.25">
      <c r="BP2193" s="2"/>
      <c r="BQ2193" s="2"/>
      <c r="BR2193" s="2"/>
      <c r="BS2193" s="2"/>
      <c r="BT2193" s="2"/>
      <c r="BU2193" s="2"/>
    </row>
    <row r="2194" spans="68:73" x14ac:dyDescent="0.25">
      <c r="BP2194" s="2"/>
      <c r="BQ2194" s="2"/>
      <c r="BR2194" s="2"/>
      <c r="BS2194" s="2"/>
      <c r="BT2194" s="2"/>
      <c r="BU2194" s="2"/>
    </row>
    <row r="2195" spans="68:73" x14ac:dyDescent="0.25">
      <c r="BP2195" s="2"/>
      <c r="BQ2195" s="2"/>
      <c r="BR2195" s="2"/>
      <c r="BS2195" s="2"/>
      <c r="BT2195" s="2"/>
      <c r="BU2195" s="2"/>
    </row>
    <row r="2196" spans="68:73" x14ac:dyDescent="0.25">
      <c r="BP2196" s="2"/>
      <c r="BQ2196" s="2"/>
      <c r="BR2196" s="2"/>
      <c r="BS2196" s="2"/>
      <c r="BT2196" s="2"/>
      <c r="BU2196" s="2"/>
    </row>
    <row r="2197" spans="68:73" x14ac:dyDescent="0.25">
      <c r="BP2197" s="2"/>
      <c r="BQ2197" s="2"/>
      <c r="BR2197" s="2"/>
      <c r="BS2197" s="2"/>
      <c r="BT2197" s="2"/>
      <c r="BU2197" s="2"/>
    </row>
    <row r="2198" spans="68:73" x14ac:dyDescent="0.25">
      <c r="BP2198" s="2"/>
      <c r="BQ2198" s="2"/>
      <c r="BR2198" s="2"/>
      <c r="BS2198" s="2"/>
      <c r="BT2198" s="2"/>
      <c r="BU2198" s="2"/>
    </row>
    <row r="2199" spans="68:73" x14ac:dyDescent="0.25">
      <c r="BP2199" s="2"/>
      <c r="BQ2199" s="2"/>
      <c r="BR2199" s="2"/>
      <c r="BS2199" s="2"/>
      <c r="BT2199" s="2"/>
      <c r="BU2199" s="2"/>
    </row>
    <row r="2200" spans="68:73" x14ac:dyDescent="0.25">
      <c r="BP2200" s="2"/>
      <c r="BQ2200" s="2"/>
      <c r="BR2200" s="2"/>
      <c r="BS2200" s="2"/>
      <c r="BT2200" s="2"/>
      <c r="BU2200" s="2"/>
    </row>
    <row r="2201" spans="68:73" x14ac:dyDescent="0.25">
      <c r="BP2201" s="2"/>
      <c r="BQ2201" s="2"/>
      <c r="BR2201" s="2"/>
      <c r="BS2201" s="2"/>
      <c r="BT2201" s="2"/>
      <c r="BU2201" s="2"/>
    </row>
    <row r="2202" spans="68:73" x14ac:dyDescent="0.25">
      <c r="BP2202" s="2"/>
      <c r="BQ2202" s="2"/>
      <c r="BR2202" s="2"/>
      <c r="BS2202" s="2"/>
      <c r="BT2202" s="2"/>
      <c r="BU2202" s="2"/>
    </row>
    <row r="2203" spans="68:73" x14ac:dyDescent="0.25">
      <c r="BP2203" s="2"/>
      <c r="BQ2203" s="2"/>
      <c r="BR2203" s="2"/>
      <c r="BS2203" s="2"/>
      <c r="BT2203" s="2"/>
      <c r="BU2203" s="2"/>
    </row>
    <row r="2204" spans="68:73" x14ac:dyDescent="0.25">
      <c r="BP2204" s="2"/>
      <c r="BQ2204" s="2"/>
      <c r="BR2204" s="2"/>
      <c r="BS2204" s="2"/>
      <c r="BT2204" s="2"/>
      <c r="BU2204" s="2"/>
    </row>
    <row r="2205" spans="68:73" x14ac:dyDescent="0.25">
      <c r="BP2205" s="2"/>
      <c r="BQ2205" s="2"/>
      <c r="BR2205" s="2"/>
      <c r="BS2205" s="2"/>
      <c r="BT2205" s="2"/>
      <c r="BU2205" s="2"/>
    </row>
    <row r="2206" spans="68:73" x14ac:dyDescent="0.25">
      <c r="BP2206" s="2"/>
      <c r="BQ2206" s="2"/>
      <c r="BR2206" s="2"/>
      <c r="BS2206" s="2"/>
      <c r="BT2206" s="2"/>
      <c r="BU2206" s="2"/>
    </row>
    <row r="2207" spans="68:73" x14ac:dyDescent="0.25">
      <c r="BP2207" s="2"/>
      <c r="BQ2207" s="2"/>
      <c r="BR2207" s="2"/>
      <c r="BS2207" s="2"/>
      <c r="BT2207" s="2"/>
      <c r="BU2207" s="2"/>
    </row>
    <row r="2208" spans="68:73" x14ac:dyDescent="0.25">
      <c r="BP2208" s="2"/>
      <c r="BQ2208" s="2"/>
      <c r="BR2208" s="2"/>
      <c r="BS2208" s="2"/>
      <c r="BT2208" s="2"/>
      <c r="BU2208" s="2"/>
    </row>
    <row r="2209" spans="68:73" x14ac:dyDescent="0.25">
      <c r="BP2209" s="2"/>
      <c r="BQ2209" s="2"/>
      <c r="BR2209" s="2"/>
      <c r="BS2209" s="2"/>
      <c r="BT2209" s="2"/>
      <c r="BU2209" s="2"/>
    </row>
    <row r="2210" spans="68:73" x14ac:dyDescent="0.25">
      <c r="BP2210" s="2"/>
      <c r="BQ2210" s="2"/>
      <c r="BR2210" s="2"/>
      <c r="BS2210" s="2"/>
      <c r="BT2210" s="2"/>
      <c r="BU2210" s="2"/>
    </row>
    <row r="2211" spans="68:73" x14ac:dyDescent="0.25">
      <c r="BP2211" s="2"/>
      <c r="BQ2211" s="2"/>
      <c r="BR2211" s="2"/>
      <c r="BS2211" s="2"/>
      <c r="BT2211" s="2"/>
      <c r="BU2211" s="2"/>
    </row>
    <row r="2212" spans="68:73" x14ac:dyDescent="0.25">
      <c r="BP2212" s="2"/>
      <c r="BQ2212" s="2"/>
      <c r="BR2212" s="2"/>
      <c r="BS2212" s="2"/>
      <c r="BT2212" s="2"/>
      <c r="BU2212" s="2"/>
    </row>
    <row r="2213" spans="68:73" x14ac:dyDescent="0.25">
      <c r="BP2213" s="2"/>
      <c r="BQ2213" s="2"/>
      <c r="BR2213" s="2"/>
      <c r="BS2213" s="2"/>
      <c r="BT2213" s="2"/>
      <c r="BU2213" s="2"/>
    </row>
    <row r="2214" spans="68:73" x14ac:dyDescent="0.25">
      <c r="BP2214" s="2"/>
      <c r="BQ2214" s="2"/>
      <c r="BR2214" s="2"/>
      <c r="BS2214" s="2"/>
      <c r="BT2214" s="2"/>
      <c r="BU2214" s="2"/>
    </row>
    <row r="2215" spans="68:73" x14ac:dyDescent="0.25">
      <c r="BP2215" s="2"/>
      <c r="BQ2215" s="2"/>
      <c r="BR2215" s="2"/>
      <c r="BS2215" s="2"/>
      <c r="BT2215" s="2"/>
      <c r="BU2215" s="2"/>
    </row>
    <row r="2216" spans="68:73" x14ac:dyDescent="0.25">
      <c r="BP2216" s="2"/>
      <c r="BQ2216" s="2"/>
      <c r="BR2216" s="2"/>
      <c r="BS2216" s="2"/>
      <c r="BT2216" s="2"/>
      <c r="BU2216" s="2"/>
    </row>
    <row r="2217" spans="68:73" x14ac:dyDescent="0.25">
      <c r="BP2217" s="2"/>
      <c r="BQ2217" s="2"/>
      <c r="BR2217" s="2"/>
      <c r="BS2217" s="2"/>
      <c r="BT2217" s="2"/>
      <c r="BU2217" s="2"/>
    </row>
    <row r="2218" spans="68:73" x14ac:dyDescent="0.25">
      <c r="BP2218" s="2"/>
      <c r="BQ2218" s="2"/>
      <c r="BR2218" s="2"/>
      <c r="BS2218" s="2"/>
      <c r="BT2218" s="2"/>
      <c r="BU2218" s="2"/>
    </row>
    <row r="2219" spans="68:73" x14ac:dyDescent="0.25">
      <c r="BP2219" s="2"/>
      <c r="BQ2219" s="2"/>
      <c r="BR2219" s="2"/>
      <c r="BS2219" s="2"/>
      <c r="BT2219" s="2"/>
      <c r="BU2219" s="2"/>
    </row>
    <row r="2220" spans="68:73" x14ac:dyDescent="0.25">
      <c r="BP2220" s="2"/>
      <c r="BQ2220" s="2"/>
      <c r="BR2220" s="2"/>
      <c r="BS2220" s="2"/>
      <c r="BT2220" s="2"/>
      <c r="BU2220" s="2"/>
    </row>
    <row r="2221" spans="68:73" x14ac:dyDescent="0.25">
      <c r="BP2221" s="2"/>
      <c r="BQ2221" s="2"/>
      <c r="BR2221" s="2"/>
      <c r="BS2221" s="2"/>
      <c r="BT2221" s="2"/>
      <c r="BU2221" s="2"/>
    </row>
    <row r="2222" spans="68:73" x14ac:dyDescent="0.25">
      <c r="BP2222" s="2"/>
      <c r="BQ2222" s="2"/>
      <c r="BR2222" s="2"/>
      <c r="BS2222" s="2"/>
      <c r="BT2222" s="2"/>
      <c r="BU2222" s="2"/>
    </row>
    <row r="2223" spans="68:73" x14ac:dyDescent="0.25">
      <c r="BP2223" s="2"/>
      <c r="BQ2223" s="2"/>
      <c r="BR2223" s="2"/>
      <c r="BS2223" s="2"/>
      <c r="BT2223" s="2"/>
      <c r="BU2223" s="2"/>
    </row>
    <row r="2224" spans="68:73" x14ac:dyDescent="0.25">
      <c r="BP2224" s="2"/>
      <c r="BQ2224" s="2"/>
      <c r="BR2224" s="2"/>
      <c r="BS2224" s="2"/>
      <c r="BT2224" s="2"/>
      <c r="BU2224" s="2"/>
    </row>
    <row r="2225" spans="68:73" x14ac:dyDescent="0.25">
      <c r="BP2225" s="2"/>
      <c r="BQ2225" s="2"/>
      <c r="BR2225" s="2"/>
      <c r="BS2225" s="2"/>
      <c r="BT2225" s="2"/>
      <c r="BU2225" s="2"/>
    </row>
    <row r="2226" spans="68:73" x14ac:dyDescent="0.25">
      <c r="BP2226" s="2"/>
      <c r="BQ2226" s="2"/>
      <c r="BR2226" s="2"/>
      <c r="BS2226" s="2"/>
      <c r="BT2226" s="2"/>
      <c r="BU2226" s="2"/>
    </row>
    <row r="2227" spans="68:73" x14ac:dyDescent="0.25">
      <c r="BP2227" s="2"/>
      <c r="BQ2227" s="2"/>
      <c r="BR2227" s="2"/>
      <c r="BS2227" s="2"/>
      <c r="BT2227" s="2"/>
      <c r="BU2227" s="2"/>
    </row>
    <row r="2228" spans="68:73" x14ac:dyDescent="0.25">
      <c r="BP2228" s="2"/>
      <c r="BQ2228" s="2"/>
      <c r="BR2228" s="2"/>
      <c r="BS2228" s="2"/>
      <c r="BT2228" s="2"/>
      <c r="BU2228" s="2"/>
    </row>
    <row r="2229" spans="68:73" x14ac:dyDescent="0.25">
      <c r="BP2229" s="2"/>
      <c r="BQ2229" s="2"/>
      <c r="BR2229" s="2"/>
      <c r="BS2229" s="2"/>
      <c r="BT2229" s="2"/>
      <c r="BU2229" s="2"/>
    </row>
    <row r="2230" spans="68:73" x14ac:dyDescent="0.25">
      <c r="BP2230" s="2"/>
      <c r="BQ2230" s="2"/>
      <c r="BR2230" s="2"/>
      <c r="BS2230" s="2"/>
      <c r="BT2230" s="2"/>
      <c r="BU2230" s="2"/>
    </row>
    <row r="2231" spans="68:73" x14ac:dyDescent="0.25">
      <c r="BP2231" s="2"/>
      <c r="BQ2231" s="2"/>
      <c r="BR2231" s="2"/>
      <c r="BS2231" s="2"/>
      <c r="BT2231" s="2"/>
      <c r="BU2231" s="2"/>
    </row>
    <row r="2232" spans="68:73" x14ac:dyDescent="0.25">
      <c r="BP2232" s="2"/>
      <c r="BQ2232" s="2"/>
      <c r="BR2232" s="2"/>
      <c r="BS2232" s="2"/>
      <c r="BT2232" s="2"/>
      <c r="BU2232" s="2"/>
    </row>
    <row r="2233" spans="68:73" x14ac:dyDescent="0.25">
      <c r="BP2233" s="2"/>
      <c r="BQ2233" s="2"/>
      <c r="BR2233" s="2"/>
      <c r="BS2233" s="2"/>
      <c r="BT2233" s="2"/>
      <c r="BU2233" s="2"/>
    </row>
    <row r="2234" spans="68:73" x14ac:dyDescent="0.25">
      <c r="BP2234" s="2"/>
      <c r="BQ2234" s="2"/>
      <c r="BR2234" s="2"/>
      <c r="BS2234" s="2"/>
      <c r="BT2234" s="2"/>
      <c r="BU2234" s="2"/>
    </row>
    <row r="2235" spans="68:73" x14ac:dyDescent="0.25">
      <c r="BP2235" s="2"/>
      <c r="BQ2235" s="2"/>
      <c r="BR2235" s="2"/>
      <c r="BS2235" s="2"/>
      <c r="BT2235" s="2"/>
      <c r="BU2235" s="2"/>
    </row>
    <row r="2236" spans="68:73" x14ac:dyDescent="0.25">
      <c r="BP2236" s="2"/>
      <c r="BQ2236" s="2"/>
      <c r="BR2236" s="2"/>
      <c r="BS2236" s="2"/>
      <c r="BT2236" s="2"/>
      <c r="BU2236" s="2"/>
    </row>
    <row r="2237" spans="68:73" x14ac:dyDescent="0.25">
      <c r="BP2237" s="2"/>
      <c r="BQ2237" s="2"/>
      <c r="BR2237" s="2"/>
      <c r="BS2237" s="2"/>
      <c r="BT2237" s="2"/>
      <c r="BU2237" s="2"/>
    </row>
    <row r="2238" spans="68:73" x14ac:dyDescent="0.25">
      <c r="BP2238" s="2"/>
      <c r="BQ2238" s="2"/>
      <c r="BR2238" s="2"/>
      <c r="BS2238" s="2"/>
      <c r="BT2238" s="2"/>
      <c r="BU2238" s="2"/>
    </row>
    <row r="2239" spans="68:73" x14ac:dyDescent="0.25">
      <c r="BP2239" s="2"/>
      <c r="BQ2239" s="2"/>
      <c r="BR2239" s="2"/>
      <c r="BS2239" s="2"/>
      <c r="BT2239" s="2"/>
      <c r="BU2239" s="2"/>
    </row>
    <row r="2240" spans="68:73" x14ac:dyDescent="0.25">
      <c r="BP2240" s="2"/>
      <c r="BQ2240" s="2"/>
      <c r="BR2240" s="2"/>
      <c r="BS2240" s="2"/>
      <c r="BT2240" s="2"/>
      <c r="BU2240" s="2"/>
    </row>
    <row r="2241" spans="68:73" x14ac:dyDescent="0.25">
      <c r="BP2241" s="2"/>
      <c r="BQ2241" s="2"/>
      <c r="BR2241" s="2"/>
      <c r="BS2241" s="2"/>
      <c r="BT2241" s="2"/>
      <c r="BU2241" s="2"/>
    </row>
    <row r="2242" spans="68:73" x14ac:dyDescent="0.25">
      <c r="BP2242" s="2"/>
      <c r="BQ2242" s="2"/>
      <c r="BR2242" s="2"/>
      <c r="BS2242" s="2"/>
      <c r="BT2242" s="2"/>
      <c r="BU2242" s="2"/>
    </row>
    <row r="2243" spans="68:73" x14ac:dyDescent="0.25">
      <c r="BP2243" s="2"/>
      <c r="BQ2243" s="2"/>
      <c r="BR2243" s="2"/>
      <c r="BS2243" s="2"/>
      <c r="BT2243" s="2"/>
      <c r="BU2243" s="2"/>
    </row>
    <row r="2244" spans="68:73" x14ac:dyDescent="0.25">
      <c r="BP2244" s="2"/>
      <c r="BQ2244" s="2"/>
      <c r="BR2244" s="2"/>
      <c r="BS2244" s="2"/>
      <c r="BT2244" s="2"/>
      <c r="BU2244" s="2"/>
    </row>
    <row r="2245" spans="68:73" x14ac:dyDescent="0.25">
      <c r="BP2245" s="2"/>
      <c r="BQ2245" s="2"/>
      <c r="BR2245" s="2"/>
      <c r="BS2245" s="2"/>
      <c r="BT2245" s="2"/>
      <c r="BU2245" s="2"/>
    </row>
    <row r="2246" spans="68:73" x14ac:dyDescent="0.25">
      <c r="BP2246" s="2"/>
      <c r="BQ2246" s="2"/>
      <c r="BR2246" s="2"/>
      <c r="BS2246" s="2"/>
      <c r="BT2246" s="2"/>
      <c r="BU2246" s="2"/>
    </row>
    <row r="2247" spans="68:73" x14ac:dyDescent="0.25">
      <c r="BP2247" s="2"/>
      <c r="BQ2247" s="2"/>
      <c r="BR2247" s="2"/>
      <c r="BS2247" s="2"/>
      <c r="BT2247" s="2"/>
      <c r="BU2247" s="2"/>
    </row>
    <row r="2248" spans="68:73" x14ac:dyDescent="0.25">
      <c r="BP2248" s="2"/>
      <c r="BQ2248" s="2"/>
      <c r="BR2248" s="2"/>
      <c r="BS2248" s="2"/>
      <c r="BT2248" s="2"/>
      <c r="BU2248" s="2"/>
    </row>
    <row r="2249" spans="68:73" x14ac:dyDescent="0.25">
      <c r="BP2249" s="2"/>
      <c r="BQ2249" s="2"/>
      <c r="BR2249" s="2"/>
      <c r="BS2249" s="2"/>
      <c r="BT2249" s="2"/>
      <c r="BU2249" s="2"/>
    </row>
    <row r="2250" spans="68:73" x14ac:dyDescent="0.25">
      <c r="BP2250" s="2"/>
      <c r="BQ2250" s="2"/>
      <c r="BR2250" s="2"/>
      <c r="BS2250" s="2"/>
      <c r="BT2250" s="2"/>
      <c r="BU2250" s="2"/>
    </row>
    <row r="2251" spans="68:73" x14ac:dyDescent="0.25">
      <c r="BP2251" s="2"/>
      <c r="BQ2251" s="2"/>
      <c r="BR2251" s="2"/>
      <c r="BS2251" s="2"/>
      <c r="BT2251" s="2"/>
      <c r="BU2251" s="2"/>
    </row>
    <row r="2252" spans="68:73" x14ac:dyDescent="0.25">
      <c r="BP2252" s="2"/>
      <c r="BQ2252" s="2"/>
      <c r="BR2252" s="2"/>
      <c r="BS2252" s="2"/>
      <c r="BT2252" s="2"/>
      <c r="BU2252" s="2"/>
    </row>
    <row r="2253" spans="68:73" x14ac:dyDescent="0.25">
      <c r="BP2253" s="2"/>
      <c r="BQ2253" s="2"/>
      <c r="BR2253" s="2"/>
      <c r="BS2253" s="2"/>
      <c r="BT2253" s="2"/>
      <c r="BU2253" s="2"/>
    </row>
    <row r="2254" spans="68:73" x14ac:dyDescent="0.25">
      <c r="BP2254" s="2"/>
      <c r="BQ2254" s="2"/>
      <c r="BR2254" s="2"/>
      <c r="BS2254" s="2"/>
      <c r="BT2254" s="2"/>
      <c r="BU2254" s="2"/>
    </row>
    <row r="2255" spans="68:73" x14ac:dyDescent="0.25">
      <c r="BP2255" s="2"/>
      <c r="BQ2255" s="2"/>
      <c r="BR2255" s="2"/>
      <c r="BS2255" s="2"/>
      <c r="BT2255" s="2"/>
      <c r="BU2255" s="2"/>
    </row>
    <row r="2256" spans="68:73" x14ac:dyDescent="0.25">
      <c r="BP2256" s="2"/>
      <c r="BQ2256" s="2"/>
      <c r="BR2256" s="2"/>
      <c r="BS2256" s="2"/>
      <c r="BT2256" s="2"/>
      <c r="BU2256" s="2"/>
    </row>
    <row r="2257" spans="68:73" x14ac:dyDescent="0.25">
      <c r="BP2257" s="2"/>
      <c r="BQ2257" s="2"/>
      <c r="BR2257" s="2"/>
      <c r="BS2257" s="2"/>
      <c r="BT2257" s="2"/>
      <c r="BU2257" s="2"/>
    </row>
    <row r="2258" spans="68:73" x14ac:dyDescent="0.25">
      <c r="BP2258" s="2"/>
      <c r="BQ2258" s="2"/>
      <c r="BR2258" s="2"/>
      <c r="BS2258" s="2"/>
      <c r="BT2258" s="2"/>
      <c r="BU2258" s="2"/>
    </row>
    <row r="2259" spans="68:73" x14ac:dyDescent="0.25">
      <c r="BP2259" s="2"/>
      <c r="BQ2259" s="2"/>
      <c r="BR2259" s="2"/>
      <c r="BS2259" s="2"/>
      <c r="BT2259" s="2"/>
      <c r="BU2259" s="2"/>
    </row>
    <row r="2260" spans="68:73" x14ac:dyDescent="0.25">
      <c r="BP2260" s="2"/>
      <c r="BQ2260" s="2"/>
      <c r="BR2260" s="2"/>
      <c r="BS2260" s="2"/>
      <c r="BT2260" s="2"/>
      <c r="BU2260" s="2"/>
    </row>
    <row r="2261" spans="68:73" x14ac:dyDescent="0.25">
      <c r="BP2261" s="2"/>
      <c r="BQ2261" s="2"/>
      <c r="BR2261" s="2"/>
      <c r="BS2261" s="2"/>
      <c r="BT2261" s="2"/>
      <c r="BU2261" s="2"/>
    </row>
    <row r="2262" spans="68:73" x14ac:dyDescent="0.25">
      <c r="BP2262" s="2"/>
      <c r="BQ2262" s="2"/>
      <c r="BR2262" s="2"/>
      <c r="BS2262" s="2"/>
      <c r="BT2262" s="2"/>
      <c r="BU2262" s="2"/>
    </row>
    <row r="2263" spans="68:73" x14ac:dyDescent="0.25">
      <c r="BP2263" s="2"/>
      <c r="BQ2263" s="2"/>
      <c r="BR2263" s="2"/>
      <c r="BS2263" s="2"/>
      <c r="BT2263" s="2"/>
      <c r="BU2263" s="2"/>
    </row>
    <row r="2264" spans="68:73" x14ac:dyDescent="0.25">
      <c r="BP2264" s="2"/>
      <c r="BQ2264" s="2"/>
      <c r="BR2264" s="2"/>
      <c r="BS2264" s="2"/>
      <c r="BT2264" s="2"/>
      <c r="BU2264" s="2"/>
    </row>
    <row r="2265" spans="68:73" x14ac:dyDescent="0.25">
      <c r="BP2265" s="2"/>
      <c r="BQ2265" s="2"/>
      <c r="BR2265" s="2"/>
      <c r="BS2265" s="2"/>
      <c r="BT2265" s="2"/>
      <c r="BU2265" s="2"/>
    </row>
    <row r="2266" spans="68:73" x14ac:dyDescent="0.25">
      <c r="BP2266" s="2"/>
      <c r="BQ2266" s="2"/>
      <c r="BR2266" s="2"/>
      <c r="BS2266" s="2"/>
      <c r="BT2266" s="2"/>
      <c r="BU2266" s="2"/>
    </row>
    <row r="2267" spans="68:73" x14ac:dyDescent="0.25">
      <c r="BP2267" s="2"/>
      <c r="BQ2267" s="2"/>
      <c r="BR2267" s="2"/>
      <c r="BS2267" s="2"/>
      <c r="BT2267" s="2"/>
      <c r="BU2267" s="2"/>
    </row>
    <row r="2268" spans="68:73" x14ac:dyDescent="0.25">
      <c r="BP2268" s="2"/>
      <c r="BQ2268" s="2"/>
      <c r="BR2268" s="2"/>
      <c r="BS2268" s="2"/>
      <c r="BT2268" s="2"/>
      <c r="BU2268" s="2"/>
    </row>
    <row r="2269" spans="68:73" x14ac:dyDescent="0.25">
      <c r="BP2269" s="2"/>
      <c r="BQ2269" s="2"/>
      <c r="BR2269" s="2"/>
      <c r="BS2269" s="2"/>
      <c r="BT2269" s="2"/>
      <c r="BU2269" s="2"/>
    </row>
    <row r="2270" spans="68:73" x14ac:dyDescent="0.25">
      <c r="BP2270" s="2"/>
      <c r="BQ2270" s="2"/>
      <c r="BR2270" s="2"/>
      <c r="BS2270" s="2"/>
      <c r="BT2270" s="2"/>
      <c r="BU2270" s="2"/>
    </row>
    <row r="2271" spans="68:73" x14ac:dyDescent="0.25">
      <c r="BP2271" s="2"/>
      <c r="BQ2271" s="2"/>
      <c r="BR2271" s="2"/>
      <c r="BS2271" s="2"/>
      <c r="BT2271" s="2"/>
      <c r="BU2271" s="2"/>
    </row>
    <row r="2272" spans="68:73" x14ac:dyDescent="0.25">
      <c r="BP2272" s="2"/>
      <c r="BQ2272" s="2"/>
      <c r="BR2272" s="2"/>
      <c r="BS2272" s="2"/>
      <c r="BT2272" s="2"/>
      <c r="BU2272" s="2"/>
    </row>
    <row r="2273" spans="68:73" x14ac:dyDescent="0.25">
      <c r="BP2273" s="2"/>
      <c r="BQ2273" s="2"/>
      <c r="BR2273" s="2"/>
      <c r="BS2273" s="2"/>
      <c r="BT2273" s="2"/>
      <c r="BU2273" s="2"/>
    </row>
    <row r="2274" spans="68:73" x14ac:dyDescent="0.25">
      <c r="BP2274" s="2"/>
      <c r="BQ2274" s="2"/>
      <c r="BR2274" s="2"/>
      <c r="BS2274" s="2"/>
      <c r="BT2274" s="2"/>
      <c r="BU2274" s="2"/>
    </row>
    <row r="2275" spans="68:73" x14ac:dyDescent="0.25">
      <c r="BP2275" s="2"/>
      <c r="BQ2275" s="2"/>
      <c r="BR2275" s="2"/>
      <c r="BS2275" s="2"/>
      <c r="BT2275" s="2"/>
      <c r="BU2275" s="2"/>
    </row>
    <row r="2276" spans="68:73" x14ac:dyDescent="0.25">
      <c r="BP2276" s="2"/>
      <c r="BQ2276" s="2"/>
      <c r="BR2276" s="2"/>
      <c r="BS2276" s="2"/>
      <c r="BT2276" s="2"/>
      <c r="BU2276" s="2"/>
    </row>
    <row r="2277" spans="68:73" x14ac:dyDescent="0.25">
      <c r="BP2277" s="2"/>
      <c r="BQ2277" s="2"/>
      <c r="BR2277" s="2"/>
      <c r="BS2277" s="2"/>
      <c r="BT2277" s="2"/>
      <c r="BU2277" s="2"/>
    </row>
    <row r="2278" spans="68:73" x14ac:dyDescent="0.25">
      <c r="BP2278" s="2"/>
      <c r="BQ2278" s="2"/>
      <c r="BR2278" s="2"/>
      <c r="BS2278" s="2"/>
      <c r="BT2278" s="2"/>
      <c r="BU2278" s="2"/>
    </row>
    <row r="2279" spans="68:73" x14ac:dyDescent="0.25">
      <c r="BP2279" s="2"/>
      <c r="BQ2279" s="2"/>
      <c r="BR2279" s="2"/>
      <c r="BS2279" s="2"/>
      <c r="BT2279" s="2"/>
      <c r="BU2279" s="2"/>
    </row>
    <row r="2280" spans="68:73" x14ac:dyDescent="0.25">
      <c r="BP2280" s="2"/>
      <c r="BQ2280" s="2"/>
      <c r="BR2280" s="2"/>
      <c r="BS2280" s="2"/>
      <c r="BT2280" s="2"/>
      <c r="BU2280" s="2"/>
    </row>
    <row r="2281" spans="68:73" x14ac:dyDescent="0.25">
      <c r="BP2281" s="2"/>
      <c r="BQ2281" s="2"/>
      <c r="BR2281" s="2"/>
      <c r="BS2281" s="2"/>
      <c r="BT2281" s="2"/>
      <c r="BU2281" s="2"/>
    </row>
    <row r="2282" spans="68:73" x14ac:dyDescent="0.25">
      <c r="BP2282" s="2"/>
      <c r="BQ2282" s="2"/>
      <c r="BR2282" s="2"/>
      <c r="BS2282" s="2"/>
      <c r="BT2282" s="2"/>
      <c r="BU2282" s="2"/>
    </row>
    <row r="2283" spans="68:73" x14ac:dyDescent="0.25">
      <c r="BP2283" s="2"/>
      <c r="BQ2283" s="2"/>
      <c r="BR2283" s="2"/>
      <c r="BS2283" s="2"/>
      <c r="BT2283" s="2"/>
      <c r="BU2283" s="2"/>
    </row>
    <row r="2284" spans="68:73" x14ac:dyDescent="0.25">
      <c r="BP2284" s="2"/>
      <c r="BQ2284" s="2"/>
      <c r="BR2284" s="2"/>
      <c r="BS2284" s="2"/>
      <c r="BT2284" s="2"/>
      <c r="BU2284" s="2"/>
    </row>
    <row r="2285" spans="68:73" x14ac:dyDescent="0.25">
      <c r="BP2285" s="2"/>
      <c r="BQ2285" s="2"/>
      <c r="BR2285" s="2"/>
      <c r="BS2285" s="2"/>
      <c r="BT2285" s="2"/>
      <c r="BU2285" s="2"/>
    </row>
    <row r="2286" spans="68:73" x14ac:dyDescent="0.25">
      <c r="BP2286" s="2"/>
      <c r="BQ2286" s="2"/>
      <c r="BR2286" s="2"/>
      <c r="BS2286" s="2"/>
      <c r="BT2286" s="2"/>
      <c r="BU2286" s="2"/>
    </row>
    <row r="2287" spans="68:73" x14ac:dyDescent="0.25">
      <c r="BP2287" s="2"/>
      <c r="BQ2287" s="2"/>
      <c r="BR2287" s="2"/>
      <c r="BS2287" s="2"/>
      <c r="BT2287" s="2"/>
      <c r="BU2287" s="2"/>
    </row>
    <row r="2288" spans="68:73" x14ac:dyDescent="0.25">
      <c r="BP2288" s="2"/>
      <c r="BQ2288" s="2"/>
      <c r="BR2288" s="2"/>
      <c r="BS2288" s="2"/>
      <c r="BT2288" s="2"/>
      <c r="BU2288" s="2"/>
    </row>
    <row r="2289" spans="68:73" x14ac:dyDescent="0.25">
      <c r="BP2289" s="2"/>
      <c r="BQ2289" s="2"/>
      <c r="BR2289" s="2"/>
      <c r="BS2289" s="2"/>
      <c r="BT2289" s="2"/>
      <c r="BU2289" s="2"/>
    </row>
    <row r="2290" spans="68:73" x14ac:dyDescent="0.25">
      <c r="BP2290" s="2"/>
      <c r="BQ2290" s="2"/>
      <c r="BR2290" s="2"/>
      <c r="BS2290" s="2"/>
      <c r="BT2290" s="2"/>
      <c r="BU2290" s="2"/>
    </row>
    <row r="2291" spans="68:73" x14ac:dyDescent="0.25">
      <c r="BP2291" s="2"/>
      <c r="BQ2291" s="2"/>
      <c r="BR2291" s="2"/>
      <c r="BS2291" s="2"/>
      <c r="BT2291" s="2"/>
      <c r="BU2291" s="2"/>
    </row>
    <row r="2292" spans="68:73" x14ac:dyDescent="0.25">
      <c r="BP2292" s="2"/>
      <c r="BQ2292" s="2"/>
      <c r="BR2292" s="2"/>
      <c r="BS2292" s="2"/>
      <c r="BT2292" s="2"/>
      <c r="BU2292" s="2"/>
    </row>
    <row r="2293" spans="68:73" x14ac:dyDescent="0.25">
      <c r="BP2293" s="2"/>
      <c r="BQ2293" s="2"/>
      <c r="BR2293" s="2"/>
      <c r="BS2293" s="2"/>
      <c r="BT2293" s="2"/>
      <c r="BU2293" s="2"/>
    </row>
    <row r="2294" spans="68:73" x14ac:dyDescent="0.25">
      <c r="BP2294" s="2"/>
      <c r="BQ2294" s="2"/>
      <c r="BR2294" s="2"/>
      <c r="BS2294" s="2"/>
      <c r="BT2294" s="2"/>
      <c r="BU2294" s="2"/>
    </row>
    <row r="2295" spans="68:73" x14ac:dyDescent="0.25">
      <c r="BP2295" s="2"/>
      <c r="BQ2295" s="2"/>
      <c r="BR2295" s="2"/>
      <c r="BS2295" s="2"/>
      <c r="BT2295" s="2"/>
      <c r="BU2295" s="2"/>
    </row>
    <row r="2296" spans="68:73" x14ac:dyDescent="0.25">
      <c r="BP2296" s="2"/>
      <c r="BQ2296" s="2"/>
      <c r="BR2296" s="2"/>
      <c r="BS2296" s="2"/>
      <c r="BT2296" s="2"/>
      <c r="BU2296" s="2"/>
    </row>
    <row r="2297" spans="68:73" x14ac:dyDescent="0.25">
      <c r="BP2297" s="2"/>
      <c r="BQ2297" s="2"/>
      <c r="BR2297" s="2"/>
      <c r="BS2297" s="2"/>
      <c r="BT2297" s="2"/>
      <c r="BU2297" s="2"/>
    </row>
    <row r="2298" spans="68:73" x14ac:dyDescent="0.25">
      <c r="BP2298" s="2"/>
      <c r="BQ2298" s="2"/>
      <c r="BR2298" s="2"/>
      <c r="BS2298" s="2"/>
      <c r="BT2298" s="2"/>
      <c r="BU2298" s="2"/>
    </row>
    <row r="2299" spans="68:73" x14ac:dyDescent="0.25">
      <c r="BP2299" s="2"/>
      <c r="BQ2299" s="2"/>
      <c r="BR2299" s="2"/>
      <c r="BS2299" s="2"/>
      <c r="BT2299" s="2"/>
      <c r="BU2299" s="2"/>
    </row>
    <row r="2300" spans="68:73" x14ac:dyDescent="0.25">
      <c r="BP2300" s="2"/>
      <c r="BQ2300" s="2"/>
      <c r="BR2300" s="2"/>
      <c r="BS2300" s="2"/>
      <c r="BT2300" s="2"/>
      <c r="BU2300" s="2"/>
    </row>
    <row r="2301" spans="68:73" x14ac:dyDescent="0.25">
      <c r="BP2301" s="2"/>
      <c r="BQ2301" s="2"/>
      <c r="BR2301" s="2"/>
      <c r="BS2301" s="2"/>
      <c r="BT2301" s="2"/>
      <c r="BU2301" s="2"/>
    </row>
    <row r="2302" spans="68:73" x14ac:dyDescent="0.25">
      <c r="BP2302" s="2"/>
      <c r="BQ2302" s="2"/>
      <c r="BR2302" s="2"/>
      <c r="BS2302" s="2"/>
      <c r="BT2302" s="2"/>
      <c r="BU2302" s="2"/>
    </row>
    <row r="2303" spans="68:73" x14ac:dyDescent="0.25">
      <c r="BP2303" s="2"/>
      <c r="BQ2303" s="2"/>
      <c r="BR2303" s="2"/>
      <c r="BS2303" s="2"/>
      <c r="BT2303" s="2"/>
      <c r="BU2303" s="2"/>
    </row>
    <row r="2304" spans="68:73" x14ac:dyDescent="0.25">
      <c r="BP2304" s="2"/>
      <c r="BQ2304" s="2"/>
      <c r="BR2304" s="2"/>
      <c r="BS2304" s="2"/>
      <c r="BT2304" s="2"/>
      <c r="BU2304" s="2"/>
    </row>
    <row r="2305" spans="68:73" x14ac:dyDescent="0.25">
      <c r="BP2305" s="2"/>
      <c r="BQ2305" s="2"/>
      <c r="BR2305" s="2"/>
      <c r="BS2305" s="2"/>
      <c r="BT2305" s="2"/>
      <c r="BU2305" s="2"/>
    </row>
    <row r="2306" spans="68:73" x14ac:dyDescent="0.25">
      <c r="BP2306" s="2"/>
      <c r="BQ2306" s="2"/>
      <c r="BR2306" s="2"/>
      <c r="BS2306" s="2"/>
      <c r="BT2306" s="2"/>
      <c r="BU2306" s="2"/>
    </row>
    <row r="2307" spans="68:73" x14ac:dyDescent="0.25">
      <c r="BP2307" s="2"/>
      <c r="BQ2307" s="2"/>
      <c r="BR2307" s="2"/>
      <c r="BS2307" s="2"/>
      <c r="BT2307" s="2"/>
      <c r="BU2307" s="2"/>
    </row>
    <row r="2308" spans="68:73" x14ac:dyDescent="0.25">
      <c r="BP2308" s="2"/>
      <c r="BQ2308" s="2"/>
      <c r="BR2308" s="2"/>
      <c r="BS2308" s="2"/>
      <c r="BT2308" s="2"/>
      <c r="BU2308" s="2"/>
    </row>
    <row r="2309" spans="68:73" x14ac:dyDescent="0.25">
      <c r="BP2309" s="2"/>
      <c r="BQ2309" s="2"/>
      <c r="BR2309" s="2"/>
      <c r="BS2309" s="2"/>
      <c r="BT2309" s="2"/>
      <c r="BU2309" s="2"/>
    </row>
    <row r="2310" spans="68:73" x14ac:dyDescent="0.25">
      <c r="BP2310" s="2"/>
      <c r="BQ2310" s="2"/>
      <c r="BR2310" s="2"/>
      <c r="BS2310" s="2"/>
      <c r="BT2310" s="2"/>
      <c r="BU2310" s="2"/>
    </row>
    <row r="2311" spans="68:73" x14ac:dyDescent="0.25">
      <c r="BP2311" s="2"/>
      <c r="BQ2311" s="2"/>
      <c r="BR2311" s="2"/>
      <c r="BS2311" s="2"/>
      <c r="BT2311" s="2"/>
      <c r="BU2311" s="2"/>
    </row>
    <row r="2312" spans="68:73" x14ac:dyDescent="0.25">
      <c r="BP2312" s="2"/>
      <c r="BQ2312" s="2"/>
      <c r="BR2312" s="2"/>
      <c r="BS2312" s="2"/>
      <c r="BT2312" s="2"/>
      <c r="BU2312" s="2"/>
    </row>
    <row r="2313" spans="68:73" x14ac:dyDescent="0.25">
      <c r="BP2313" s="2"/>
      <c r="BQ2313" s="2"/>
      <c r="BR2313" s="2"/>
      <c r="BS2313" s="2"/>
      <c r="BT2313" s="2"/>
      <c r="BU2313" s="2"/>
    </row>
    <row r="2314" spans="68:73" x14ac:dyDescent="0.25">
      <c r="BP2314" s="2"/>
      <c r="BQ2314" s="2"/>
      <c r="BR2314" s="2"/>
      <c r="BS2314" s="2"/>
      <c r="BT2314" s="2"/>
      <c r="BU2314" s="2"/>
    </row>
    <row r="2315" spans="68:73" x14ac:dyDescent="0.25">
      <c r="BP2315" s="2"/>
      <c r="BQ2315" s="2"/>
      <c r="BR2315" s="2"/>
      <c r="BS2315" s="2"/>
      <c r="BT2315" s="2"/>
      <c r="BU2315" s="2"/>
    </row>
    <row r="2316" spans="68:73" x14ac:dyDescent="0.25">
      <c r="BP2316" s="2"/>
      <c r="BQ2316" s="2"/>
      <c r="BR2316" s="2"/>
      <c r="BS2316" s="2"/>
      <c r="BT2316" s="2"/>
      <c r="BU2316" s="2"/>
    </row>
    <row r="2317" spans="68:73" x14ac:dyDescent="0.25">
      <c r="BP2317" s="2"/>
      <c r="BQ2317" s="2"/>
      <c r="BR2317" s="2"/>
      <c r="BS2317" s="2"/>
      <c r="BT2317" s="2"/>
      <c r="BU2317" s="2"/>
    </row>
    <row r="2318" spans="68:73" x14ac:dyDescent="0.25">
      <c r="BP2318" s="2"/>
      <c r="BQ2318" s="2"/>
      <c r="BR2318" s="2"/>
      <c r="BS2318" s="2"/>
      <c r="BT2318" s="2"/>
      <c r="BU2318" s="2"/>
    </row>
    <row r="2319" spans="68:73" x14ac:dyDescent="0.25">
      <c r="BP2319" s="2"/>
      <c r="BQ2319" s="2"/>
      <c r="BR2319" s="2"/>
      <c r="BS2319" s="2"/>
      <c r="BT2319" s="2"/>
      <c r="BU2319" s="2"/>
    </row>
    <row r="2320" spans="68:73" x14ac:dyDescent="0.25">
      <c r="BP2320" s="2"/>
      <c r="BQ2320" s="2"/>
      <c r="BR2320" s="2"/>
      <c r="BS2320" s="2"/>
      <c r="BT2320" s="2"/>
      <c r="BU2320" s="2"/>
    </row>
    <row r="2321" spans="68:73" x14ac:dyDescent="0.25">
      <c r="BP2321" s="2"/>
      <c r="BQ2321" s="2"/>
      <c r="BR2321" s="2"/>
      <c r="BS2321" s="2"/>
      <c r="BT2321" s="2"/>
      <c r="BU2321" s="2"/>
    </row>
    <row r="2322" spans="68:73" x14ac:dyDescent="0.25">
      <c r="BP2322" s="2"/>
      <c r="BQ2322" s="2"/>
      <c r="BR2322" s="2"/>
      <c r="BS2322" s="2"/>
      <c r="BT2322" s="2"/>
      <c r="BU2322" s="2"/>
    </row>
    <row r="2323" spans="68:73" x14ac:dyDescent="0.25">
      <c r="BP2323" s="2"/>
      <c r="BQ2323" s="2"/>
      <c r="BR2323" s="2"/>
      <c r="BS2323" s="2"/>
      <c r="BT2323" s="2"/>
      <c r="BU2323" s="2"/>
    </row>
    <row r="2324" spans="68:73" x14ac:dyDescent="0.25">
      <c r="BP2324" s="2"/>
      <c r="BQ2324" s="2"/>
      <c r="BR2324" s="2"/>
      <c r="BS2324" s="2"/>
      <c r="BT2324" s="2"/>
      <c r="BU2324" s="2"/>
    </row>
    <row r="2325" spans="68:73" x14ac:dyDescent="0.25">
      <c r="BP2325" s="2"/>
      <c r="BQ2325" s="2"/>
      <c r="BR2325" s="2"/>
      <c r="BS2325" s="2"/>
      <c r="BT2325" s="2"/>
      <c r="BU2325" s="2"/>
    </row>
    <row r="2326" spans="68:73" x14ac:dyDescent="0.25">
      <c r="BP2326" s="2"/>
      <c r="BQ2326" s="2"/>
      <c r="BR2326" s="2"/>
      <c r="BS2326" s="2"/>
      <c r="BT2326" s="2"/>
      <c r="BU2326" s="2"/>
    </row>
    <row r="2327" spans="68:73" x14ac:dyDescent="0.25">
      <c r="BP2327" s="2"/>
      <c r="BQ2327" s="2"/>
      <c r="BR2327" s="2"/>
      <c r="BS2327" s="2"/>
      <c r="BT2327" s="2"/>
      <c r="BU2327" s="2"/>
    </row>
    <row r="2328" spans="68:73" x14ac:dyDescent="0.25">
      <c r="BP2328" s="2"/>
      <c r="BQ2328" s="2"/>
      <c r="BR2328" s="2"/>
      <c r="BS2328" s="2"/>
      <c r="BT2328" s="2"/>
      <c r="BU2328" s="2"/>
    </row>
    <row r="2329" spans="68:73" x14ac:dyDescent="0.25">
      <c r="BP2329" s="2"/>
      <c r="BQ2329" s="2"/>
      <c r="BR2329" s="2"/>
      <c r="BS2329" s="2"/>
      <c r="BT2329" s="2"/>
      <c r="BU2329" s="2"/>
    </row>
    <row r="2330" spans="68:73" x14ac:dyDescent="0.25">
      <c r="BP2330" s="2"/>
      <c r="BQ2330" s="2"/>
      <c r="BR2330" s="2"/>
      <c r="BS2330" s="2"/>
      <c r="BT2330" s="2"/>
      <c r="BU2330" s="2"/>
    </row>
    <row r="2331" spans="68:73" x14ac:dyDescent="0.25">
      <c r="BP2331" s="2"/>
      <c r="BQ2331" s="2"/>
      <c r="BR2331" s="2"/>
      <c r="BS2331" s="2"/>
      <c r="BT2331" s="2"/>
      <c r="BU2331" s="2"/>
    </row>
    <row r="2332" spans="68:73" x14ac:dyDescent="0.25">
      <c r="BP2332" s="2"/>
      <c r="BQ2332" s="2"/>
      <c r="BR2332" s="2"/>
      <c r="BS2332" s="2"/>
      <c r="BT2332" s="2"/>
      <c r="BU2332" s="2"/>
    </row>
    <row r="2333" spans="68:73" x14ac:dyDescent="0.25">
      <c r="BP2333" s="2"/>
      <c r="BQ2333" s="2"/>
      <c r="BR2333" s="2"/>
      <c r="BS2333" s="2"/>
      <c r="BT2333" s="2"/>
      <c r="BU2333" s="2"/>
    </row>
    <row r="2334" spans="68:73" x14ac:dyDescent="0.25">
      <c r="BP2334" s="2"/>
      <c r="BQ2334" s="2"/>
      <c r="BR2334" s="2"/>
      <c r="BS2334" s="2"/>
      <c r="BT2334" s="2"/>
      <c r="BU2334" s="2"/>
    </row>
    <row r="2335" spans="68:73" x14ac:dyDescent="0.25">
      <c r="BP2335" s="2"/>
      <c r="BQ2335" s="2"/>
      <c r="BR2335" s="2"/>
      <c r="BS2335" s="2"/>
      <c r="BT2335" s="2"/>
      <c r="BU2335" s="2"/>
    </row>
    <row r="2336" spans="68:73" x14ac:dyDescent="0.25">
      <c r="BP2336" s="2"/>
      <c r="BQ2336" s="2"/>
      <c r="BR2336" s="2"/>
      <c r="BS2336" s="2"/>
      <c r="BT2336" s="2"/>
      <c r="BU2336" s="2"/>
    </row>
    <row r="2337" spans="68:73" x14ac:dyDescent="0.25">
      <c r="BP2337" s="2"/>
      <c r="BQ2337" s="2"/>
      <c r="BR2337" s="2"/>
      <c r="BS2337" s="2"/>
      <c r="BT2337" s="2"/>
      <c r="BU2337" s="2"/>
    </row>
    <row r="2338" spans="68:73" x14ac:dyDescent="0.25">
      <c r="BP2338" s="2"/>
      <c r="BQ2338" s="2"/>
      <c r="BR2338" s="2"/>
      <c r="BS2338" s="2"/>
      <c r="BT2338" s="2"/>
      <c r="BU2338" s="2"/>
    </row>
    <row r="2339" spans="68:73" x14ac:dyDescent="0.25">
      <c r="BP2339" s="2"/>
      <c r="BQ2339" s="2"/>
      <c r="BR2339" s="2"/>
      <c r="BS2339" s="2"/>
      <c r="BT2339" s="2"/>
      <c r="BU2339" s="2"/>
    </row>
    <row r="2340" spans="68:73" x14ac:dyDescent="0.25">
      <c r="BP2340" s="2"/>
      <c r="BQ2340" s="2"/>
      <c r="BR2340" s="2"/>
      <c r="BS2340" s="2"/>
      <c r="BT2340" s="2"/>
      <c r="BU2340" s="2"/>
    </row>
    <row r="2341" spans="68:73" x14ac:dyDescent="0.25">
      <c r="BP2341" s="2"/>
      <c r="BQ2341" s="2"/>
      <c r="BR2341" s="2"/>
      <c r="BS2341" s="2"/>
      <c r="BT2341" s="2"/>
      <c r="BU2341" s="2"/>
    </row>
    <row r="2342" spans="68:73" x14ac:dyDescent="0.25">
      <c r="BP2342" s="2"/>
      <c r="BQ2342" s="2"/>
      <c r="BR2342" s="2"/>
      <c r="BS2342" s="2"/>
      <c r="BT2342" s="2"/>
      <c r="BU2342" s="2"/>
    </row>
    <row r="2343" spans="68:73" x14ac:dyDescent="0.25">
      <c r="BP2343" s="2"/>
      <c r="BQ2343" s="2"/>
      <c r="BR2343" s="2"/>
      <c r="BS2343" s="2"/>
      <c r="BT2343" s="2"/>
      <c r="BU2343" s="2"/>
    </row>
    <row r="2344" spans="68:73" x14ac:dyDescent="0.25">
      <c r="BP2344" s="2"/>
      <c r="BQ2344" s="2"/>
      <c r="BR2344" s="2"/>
      <c r="BS2344" s="2"/>
      <c r="BT2344" s="2"/>
      <c r="BU2344" s="2"/>
    </row>
    <row r="2345" spans="68:73" x14ac:dyDescent="0.25">
      <c r="BP2345" s="2"/>
      <c r="BQ2345" s="2"/>
      <c r="BR2345" s="2"/>
      <c r="BS2345" s="2"/>
      <c r="BT2345" s="2"/>
      <c r="BU2345" s="2"/>
    </row>
    <row r="2346" spans="68:73" x14ac:dyDescent="0.25">
      <c r="BP2346" s="2"/>
      <c r="BQ2346" s="2"/>
      <c r="BR2346" s="2"/>
      <c r="BS2346" s="2"/>
      <c r="BT2346" s="2"/>
      <c r="BU2346" s="2"/>
    </row>
    <row r="2347" spans="68:73" x14ac:dyDescent="0.25">
      <c r="BP2347" s="2"/>
      <c r="BQ2347" s="2"/>
      <c r="BR2347" s="2"/>
      <c r="BS2347" s="2"/>
      <c r="BT2347" s="2"/>
      <c r="BU2347" s="2"/>
    </row>
    <row r="2348" spans="68:73" x14ac:dyDescent="0.25">
      <c r="BP2348" s="2"/>
      <c r="BQ2348" s="2"/>
      <c r="BR2348" s="2"/>
      <c r="BS2348" s="2"/>
      <c r="BT2348" s="2"/>
      <c r="BU2348" s="2"/>
    </row>
    <row r="2349" spans="68:73" x14ac:dyDescent="0.25">
      <c r="BP2349" s="2"/>
      <c r="BQ2349" s="2"/>
      <c r="BR2349" s="2"/>
      <c r="BS2349" s="2"/>
      <c r="BT2349" s="2"/>
      <c r="BU2349" s="2"/>
    </row>
    <row r="2350" spans="68:73" x14ac:dyDescent="0.25">
      <c r="BP2350" s="2"/>
      <c r="BQ2350" s="2"/>
      <c r="BR2350" s="2"/>
      <c r="BS2350" s="2"/>
      <c r="BT2350" s="2"/>
      <c r="BU2350" s="2"/>
    </row>
    <row r="2351" spans="68:73" x14ac:dyDescent="0.25">
      <c r="BP2351" s="2"/>
      <c r="BQ2351" s="2"/>
      <c r="BR2351" s="2"/>
      <c r="BS2351" s="2"/>
      <c r="BT2351" s="2"/>
      <c r="BU2351" s="2"/>
    </row>
    <row r="2352" spans="68:73" x14ac:dyDescent="0.25">
      <c r="BP2352" s="2"/>
      <c r="BQ2352" s="2"/>
      <c r="BR2352" s="2"/>
      <c r="BS2352" s="2"/>
      <c r="BT2352" s="2"/>
      <c r="BU2352" s="2"/>
    </row>
    <row r="2353" spans="68:73" x14ac:dyDescent="0.25">
      <c r="BP2353" s="2"/>
      <c r="BQ2353" s="2"/>
      <c r="BR2353" s="2"/>
      <c r="BS2353" s="2"/>
      <c r="BT2353" s="2"/>
      <c r="BU2353" s="2"/>
    </row>
    <row r="2354" spans="68:73" x14ac:dyDescent="0.25">
      <c r="BP2354" s="2"/>
      <c r="BQ2354" s="2"/>
      <c r="BR2354" s="2"/>
      <c r="BS2354" s="2"/>
      <c r="BT2354" s="2"/>
      <c r="BU2354" s="2"/>
    </row>
    <row r="2355" spans="68:73" x14ac:dyDescent="0.25">
      <c r="BP2355" s="2"/>
      <c r="BQ2355" s="2"/>
      <c r="BR2355" s="2"/>
      <c r="BS2355" s="2"/>
      <c r="BT2355" s="2"/>
      <c r="BU2355" s="2"/>
    </row>
    <row r="2356" spans="68:73" x14ac:dyDescent="0.25">
      <c r="BP2356" s="2"/>
      <c r="BQ2356" s="2"/>
      <c r="BR2356" s="2"/>
      <c r="BS2356" s="2"/>
      <c r="BT2356" s="2"/>
      <c r="BU2356" s="2"/>
    </row>
    <row r="2357" spans="68:73" x14ac:dyDescent="0.25">
      <c r="BP2357" s="2"/>
      <c r="BQ2357" s="2"/>
      <c r="BR2357" s="2"/>
      <c r="BS2357" s="2"/>
      <c r="BT2357" s="2"/>
      <c r="BU2357" s="2"/>
    </row>
    <row r="2358" spans="68:73" x14ac:dyDescent="0.25">
      <c r="BP2358" s="2"/>
      <c r="BQ2358" s="2"/>
      <c r="BR2358" s="2"/>
      <c r="BS2358" s="2"/>
      <c r="BT2358" s="2"/>
      <c r="BU2358" s="2"/>
    </row>
    <row r="2359" spans="68:73" x14ac:dyDescent="0.25">
      <c r="BP2359" s="2"/>
      <c r="BQ2359" s="2"/>
      <c r="BR2359" s="2"/>
      <c r="BS2359" s="2"/>
      <c r="BT2359" s="2"/>
      <c r="BU2359" s="2"/>
    </row>
    <row r="2360" spans="68:73" x14ac:dyDescent="0.25">
      <c r="BP2360" s="2"/>
      <c r="BQ2360" s="2"/>
      <c r="BR2360" s="2"/>
      <c r="BS2360" s="2"/>
      <c r="BT2360" s="2"/>
      <c r="BU2360" s="2"/>
    </row>
    <row r="2361" spans="68:73" x14ac:dyDescent="0.25">
      <c r="BP2361" s="2"/>
      <c r="BQ2361" s="2"/>
      <c r="BR2361" s="2"/>
      <c r="BS2361" s="2"/>
      <c r="BT2361" s="2"/>
      <c r="BU2361" s="2"/>
    </row>
    <row r="2362" spans="68:73" x14ac:dyDescent="0.25">
      <c r="BP2362" s="2"/>
      <c r="BQ2362" s="2"/>
      <c r="BR2362" s="2"/>
      <c r="BS2362" s="2"/>
      <c r="BT2362" s="2"/>
      <c r="BU2362" s="2"/>
    </row>
    <row r="2363" spans="68:73" x14ac:dyDescent="0.25">
      <c r="BP2363" s="2"/>
      <c r="BQ2363" s="2"/>
      <c r="BR2363" s="2"/>
      <c r="BS2363" s="2"/>
      <c r="BT2363" s="2"/>
      <c r="BU2363" s="2"/>
    </row>
    <row r="2364" spans="68:73" x14ac:dyDescent="0.25">
      <c r="BP2364" s="2"/>
      <c r="BQ2364" s="2"/>
      <c r="BR2364" s="2"/>
      <c r="BS2364" s="2"/>
      <c r="BT2364" s="2"/>
      <c r="BU2364" s="2"/>
    </row>
    <row r="2365" spans="68:73" x14ac:dyDescent="0.25">
      <c r="BP2365" s="2"/>
      <c r="BQ2365" s="2"/>
      <c r="BR2365" s="2"/>
      <c r="BS2365" s="2"/>
      <c r="BT2365" s="2"/>
      <c r="BU2365" s="2"/>
    </row>
    <row r="2366" spans="68:73" x14ac:dyDescent="0.25">
      <c r="BP2366" s="2"/>
      <c r="BQ2366" s="2"/>
      <c r="BR2366" s="2"/>
      <c r="BS2366" s="2"/>
      <c r="BT2366" s="2"/>
      <c r="BU2366" s="2"/>
    </row>
    <row r="2367" spans="68:73" x14ac:dyDescent="0.25">
      <c r="BP2367" s="2"/>
      <c r="BQ2367" s="2"/>
      <c r="BR2367" s="2"/>
      <c r="BS2367" s="2"/>
      <c r="BT2367" s="2"/>
      <c r="BU2367" s="2"/>
    </row>
    <row r="2368" spans="68:73" x14ac:dyDescent="0.25">
      <c r="BP2368" s="2"/>
      <c r="BQ2368" s="2"/>
      <c r="BR2368" s="2"/>
      <c r="BS2368" s="2"/>
      <c r="BT2368" s="2"/>
      <c r="BU2368" s="2"/>
    </row>
    <row r="2369" spans="68:73" x14ac:dyDescent="0.25">
      <c r="BP2369" s="2"/>
      <c r="BQ2369" s="2"/>
      <c r="BR2369" s="2"/>
      <c r="BS2369" s="2"/>
      <c r="BT2369" s="2"/>
      <c r="BU2369" s="2"/>
    </row>
    <row r="2370" spans="68:73" x14ac:dyDescent="0.25">
      <c r="BP2370" s="2"/>
      <c r="BQ2370" s="2"/>
      <c r="BR2370" s="2"/>
      <c r="BS2370" s="2"/>
      <c r="BT2370" s="2"/>
      <c r="BU2370" s="2"/>
    </row>
    <row r="2371" spans="68:73" x14ac:dyDescent="0.25">
      <c r="BP2371" s="2"/>
      <c r="BQ2371" s="2"/>
      <c r="BR2371" s="2"/>
      <c r="BS2371" s="2"/>
      <c r="BT2371" s="2"/>
      <c r="BU2371" s="2"/>
    </row>
    <row r="2372" spans="68:73" x14ac:dyDescent="0.25">
      <c r="BP2372" s="2"/>
      <c r="BQ2372" s="2"/>
      <c r="BR2372" s="2"/>
      <c r="BS2372" s="2"/>
      <c r="BT2372" s="2"/>
      <c r="BU2372" s="2"/>
    </row>
    <row r="2373" spans="68:73" x14ac:dyDescent="0.25">
      <c r="BP2373" s="2"/>
      <c r="BQ2373" s="2"/>
      <c r="BR2373" s="2"/>
      <c r="BS2373" s="2"/>
      <c r="BT2373" s="2"/>
      <c r="BU2373" s="2"/>
    </row>
    <row r="2374" spans="68:73" x14ac:dyDescent="0.25">
      <c r="BP2374" s="2"/>
      <c r="BQ2374" s="2"/>
      <c r="BR2374" s="2"/>
      <c r="BS2374" s="2"/>
      <c r="BT2374" s="2"/>
      <c r="BU2374" s="2"/>
    </row>
    <row r="2375" spans="68:73" x14ac:dyDescent="0.25">
      <c r="BP2375" s="2"/>
      <c r="BQ2375" s="2"/>
      <c r="BR2375" s="2"/>
      <c r="BS2375" s="2"/>
      <c r="BT2375" s="2"/>
      <c r="BU2375" s="2"/>
    </row>
    <row r="2376" spans="68:73" x14ac:dyDescent="0.25">
      <c r="BP2376" s="2"/>
      <c r="BQ2376" s="2"/>
      <c r="BR2376" s="2"/>
      <c r="BS2376" s="2"/>
      <c r="BT2376" s="2"/>
      <c r="BU2376" s="2"/>
    </row>
    <row r="2377" spans="68:73" x14ac:dyDescent="0.25">
      <c r="BP2377" s="2"/>
      <c r="BQ2377" s="2"/>
      <c r="BR2377" s="2"/>
      <c r="BS2377" s="2"/>
      <c r="BT2377" s="2"/>
      <c r="BU2377" s="2"/>
    </row>
    <row r="2378" spans="68:73" x14ac:dyDescent="0.25">
      <c r="BP2378" s="2"/>
      <c r="BQ2378" s="2"/>
      <c r="BR2378" s="2"/>
      <c r="BS2378" s="2"/>
      <c r="BT2378" s="2"/>
      <c r="BU2378" s="2"/>
    </row>
    <row r="2379" spans="68:73" x14ac:dyDescent="0.25">
      <c r="BP2379" s="2"/>
      <c r="BQ2379" s="2"/>
      <c r="BR2379" s="2"/>
      <c r="BS2379" s="2"/>
      <c r="BT2379" s="2"/>
      <c r="BU2379" s="2"/>
    </row>
    <row r="2380" spans="68:73" x14ac:dyDescent="0.25">
      <c r="BP2380" s="2"/>
      <c r="BQ2380" s="2"/>
      <c r="BR2380" s="2"/>
      <c r="BS2380" s="2"/>
      <c r="BT2380" s="2"/>
      <c r="BU2380" s="2"/>
    </row>
    <row r="2381" spans="68:73" x14ac:dyDescent="0.25">
      <c r="BP2381" s="2"/>
      <c r="BQ2381" s="2"/>
      <c r="BR2381" s="2"/>
      <c r="BS2381" s="2"/>
      <c r="BT2381" s="2"/>
      <c r="BU2381" s="2"/>
    </row>
    <row r="2382" spans="68:73" x14ac:dyDescent="0.25">
      <c r="BP2382" s="2"/>
      <c r="BQ2382" s="2"/>
      <c r="BR2382" s="2"/>
      <c r="BS2382" s="2"/>
      <c r="BT2382" s="2"/>
      <c r="BU2382" s="2"/>
    </row>
    <row r="2383" spans="68:73" x14ac:dyDescent="0.25">
      <c r="BP2383" s="2"/>
      <c r="BQ2383" s="2"/>
      <c r="BR2383" s="2"/>
      <c r="BS2383" s="2"/>
      <c r="BT2383" s="2"/>
      <c r="BU2383" s="2"/>
    </row>
    <row r="2384" spans="68:73" x14ac:dyDescent="0.25">
      <c r="BP2384" s="2"/>
      <c r="BQ2384" s="2"/>
      <c r="BR2384" s="2"/>
      <c r="BS2384" s="2"/>
      <c r="BT2384" s="2"/>
      <c r="BU2384" s="2"/>
    </row>
    <row r="2385" spans="68:73" x14ac:dyDescent="0.25">
      <c r="BP2385" s="2"/>
      <c r="BQ2385" s="2"/>
      <c r="BR2385" s="2"/>
      <c r="BS2385" s="2"/>
      <c r="BT2385" s="2"/>
      <c r="BU2385" s="2"/>
    </row>
    <row r="2386" spans="68:73" x14ac:dyDescent="0.25">
      <c r="BP2386" s="2"/>
      <c r="BQ2386" s="2"/>
      <c r="BR2386" s="2"/>
      <c r="BS2386" s="2"/>
      <c r="BT2386" s="2"/>
      <c r="BU2386" s="2"/>
    </row>
    <row r="2387" spans="68:73" x14ac:dyDescent="0.25">
      <c r="BP2387" s="2"/>
      <c r="BQ2387" s="2"/>
      <c r="BR2387" s="2"/>
      <c r="BS2387" s="2"/>
      <c r="BT2387" s="2"/>
      <c r="BU2387" s="2"/>
    </row>
    <row r="2388" spans="68:73" x14ac:dyDescent="0.25">
      <c r="BP2388" s="2"/>
      <c r="BQ2388" s="2"/>
      <c r="BR2388" s="2"/>
      <c r="BS2388" s="2"/>
      <c r="BT2388" s="2"/>
      <c r="BU2388" s="2"/>
    </row>
    <row r="2389" spans="68:73" x14ac:dyDescent="0.25">
      <c r="BP2389" s="2"/>
      <c r="BQ2389" s="2"/>
      <c r="BR2389" s="2"/>
      <c r="BS2389" s="2"/>
      <c r="BT2389" s="2"/>
      <c r="BU2389" s="2"/>
    </row>
    <row r="2390" spans="68:73" x14ac:dyDescent="0.25">
      <c r="BP2390" s="2"/>
      <c r="BQ2390" s="2"/>
      <c r="BR2390" s="2"/>
      <c r="BS2390" s="2"/>
      <c r="BT2390" s="2"/>
      <c r="BU2390" s="2"/>
    </row>
    <row r="2391" spans="68:73" x14ac:dyDescent="0.25">
      <c r="BP2391" s="2"/>
      <c r="BQ2391" s="2"/>
      <c r="BR2391" s="2"/>
      <c r="BS2391" s="2"/>
      <c r="BT2391" s="2"/>
      <c r="BU2391" s="2"/>
    </row>
    <row r="2392" spans="68:73" x14ac:dyDescent="0.25">
      <c r="BP2392" s="2"/>
      <c r="BQ2392" s="2"/>
      <c r="BR2392" s="2"/>
      <c r="BS2392" s="2"/>
      <c r="BT2392" s="2"/>
      <c r="BU2392" s="2"/>
    </row>
    <row r="2393" spans="68:73" x14ac:dyDescent="0.25">
      <c r="BP2393" s="2"/>
      <c r="BQ2393" s="2"/>
      <c r="BR2393" s="2"/>
      <c r="BS2393" s="2"/>
      <c r="BT2393" s="2"/>
      <c r="BU2393" s="2"/>
    </row>
    <row r="2394" spans="68:73" x14ac:dyDescent="0.25">
      <c r="BP2394" s="2"/>
      <c r="BQ2394" s="2"/>
      <c r="BR2394" s="2"/>
      <c r="BS2394" s="2"/>
      <c r="BT2394" s="2"/>
      <c r="BU2394" s="2"/>
    </row>
    <row r="2395" spans="68:73" x14ac:dyDescent="0.25">
      <c r="BP2395" s="2"/>
      <c r="BQ2395" s="2"/>
      <c r="BR2395" s="2"/>
      <c r="BS2395" s="2"/>
      <c r="BT2395" s="2"/>
      <c r="BU2395" s="2"/>
    </row>
    <row r="2396" spans="68:73" x14ac:dyDescent="0.25">
      <c r="BP2396" s="2"/>
      <c r="BQ2396" s="2"/>
      <c r="BR2396" s="2"/>
      <c r="BS2396" s="2"/>
      <c r="BT2396" s="2"/>
      <c r="BU2396" s="2"/>
    </row>
    <row r="2397" spans="68:73" x14ac:dyDescent="0.25">
      <c r="BP2397" s="2"/>
      <c r="BQ2397" s="2"/>
      <c r="BR2397" s="2"/>
      <c r="BS2397" s="2"/>
      <c r="BT2397" s="2"/>
      <c r="BU2397" s="2"/>
    </row>
    <row r="2398" spans="68:73" x14ac:dyDescent="0.25">
      <c r="BP2398" s="2"/>
      <c r="BQ2398" s="2"/>
      <c r="BR2398" s="2"/>
      <c r="BS2398" s="2"/>
      <c r="BT2398" s="2"/>
      <c r="BU2398" s="2"/>
    </row>
    <row r="2399" spans="68:73" x14ac:dyDescent="0.25">
      <c r="BP2399" s="2"/>
      <c r="BQ2399" s="2"/>
      <c r="BR2399" s="2"/>
      <c r="BS2399" s="2"/>
      <c r="BT2399" s="2"/>
      <c r="BU2399" s="2"/>
    </row>
    <row r="2400" spans="68:73" x14ac:dyDescent="0.25">
      <c r="BP2400" s="2"/>
      <c r="BQ2400" s="2"/>
      <c r="BR2400" s="2"/>
      <c r="BS2400" s="2"/>
      <c r="BT2400" s="2"/>
      <c r="BU2400" s="2"/>
    </row>
    <row r="2401" spans="68:73" x14ac:dyDescent="0.25">
      <c r="BP2401" s="2"/>
      <c r="BQ2401" s="2"/>
      <c r="BR2401" s="2"/>
      <c r="BS2401" s="2"/>
      <c r="BT2401" s="2"/>
      <c r="BU2401" s="2"/>
    </row>
    <row r="2402" spans="68:73" x14ac:dyDescent="0.25">
      <c r="BP2402" s="2"/>
      <c r="BQ2402" s="2"/>
      <c r="BR2402" s="2"/>
      <c r="BS2402" s="2"/>
      <c r="BT2402" s="2"/>
      <c r="BU2402" s="2"/>
    </row>
    <row r="2403" spans="68:73" x14ac:dyDescent="0.25">
      <c r="BP2403" s="2"/>
      <c r="BQ2403" s="2"/>
      <c r="BR2403" s="2"/>
      <c r="BS2403" s="2"/>
      <c r="BT2403" s="2"/>
      <c r="BU2403" s="2"/>
    </row>
    <row r="2404" spans="68:73" x14ac:dyDescent="0.25">
      <c r="BP2404" s="2"/>
      <c r="BQ2404" s="2"/>
      <c r="BR2404" s="2"/>
      <c r="BS2404" s="2"/>
      <c r="BT2404" s="2"/>
      <c r="BU2404" s="2"/>
    </row>
    <row r="2405" spans="68:73" x14ac:dyDescent="0.25">
      <c r="BP2405" s="2"/>
      <c r="BQ2405" s="2"/>
      <c r="BR2405" s="2"/>
      <c r="BS2405" s="2"/>
      <c r="BT2405" s="2"/>
      <c r="BU2405" s="2"/>
    </row>
    <row r="2406" spans="68:73" x14ac:dyDescent="0.25">
      <c r="BP2406" s="2"/>
      <c r="BQ2406" s="2"/>
      <c r="BR2406" s="2"/>
      <c r="BS2406" s="2"/>
      <c r="BT2406" s="2"/>
      <c r="BU2406" s="2"/>
    </row>
    <row r="2407" spans="68:73" x14ac:dyDescent="0.25">
      <c r="BP2407" s="2"/>
      <c r="BQ2407" s="2"/>
      <c r="BR2407" s="2"/>
      <c r="BS2407" s="2"/>
      <c r="BT2407" s="2"/>
      <c r="BU2407" s="2"/>
    </row>
    <row r="2408" spans="68:73" x14ac:dyDescent="0.25">
      <c r="BP2408" s="2"/>
      <c r="BQ2408" s="2"/>
      <c r="BR2408" s="2"/>
      <c r="BS2408" s="2"/>
      <c r="BT2408" s="2"/>
      <c r="BU2408" s="2"/>
    </row>
    <row r="2409" spans="68:73" x14ac:dyDescent="0.25">
      <c r="BP2409" s="2"/>
      <c r="BQ2409" s="2"/>
      <c r="BR2409" s="2"/>
      <c r="BS2409" s="2"/>
      <c r="BT2409" s="2"/>
      <c r="BU2409" s="2"/>
    </row>
    <row r="2410" spans="68:73" x14ac:dyDescent="0.25">
      <c r="BP2410" s="2"/>
      <c r="BQ2410" s="2"/>
      <c r="BR2410" s="2"/>
      <c r="BS2410" s="2"/>
      <c r="BT2410" s="2"/>
      <c r="BU2410" s="2"/>
    </row>
    <row r="2411" spans="68:73" x14ac:dyDescent="0.25">
      <c r="BP2411" s="2"/>
      <c r="BQ2411" s="2"/>
      <c r="BR2411" s="2"/>
      <c r="BS2411" s="2"/>
      <c r="BT2411" s="2"/>
      <c r="BU2411" s="2"/>
    </row>
    <row r="2412" spans="68:73" x14ac:dyDescent="0.25">
      <c r="BP2412" s="2"/>
      <c r="BQ2412" s="2"/>
      <c r="BR2412" s="2"/>
      <c r="BS2412" s="2"/>
      <c r="BT2412" s="2"/>
      <c r="BU2412" s="2"/>
    </row>
    <row r="2413" spans="68:73" x14ac:dyDescent="0.25">
      <c r="BP2413" s="2"/>
      <c r="BQ2413" s="2"/>
      <c r="BR2413" s="2"/>
      <c r="BS2413" s="2"/>
      <c r="BT2413" s="2"/>
      <c r="BU2413" s="2"/>
    </row>
    <row r="2414" spans="68:73" x14ac:dyDescent="0.25">
      <c r="BP2414" s="2"/>
      <c r="BQ2414" s="2"/>
      <c r="BR2414" s="2"/>
      <c r="BS2414" s="2"/>
      <c r="BT2414" s="2"/>
      <c r="BU2414" s="2"/>
    </row>
    <row r="2415" spans="68:73" x14ac:dyDescent="0.25">
      <c r="BP2415" s="2"/>
      <c r="BQ2415" s="2"/>
      <c r="BR2415" s="2"/>
      <c r="BS2415" s="2"/>
      <c r="BT2415" s="2"/>
      <c r="BU2415" s="2"/>
    </row>
    <row r="2416" spans="68:73" x14ac:dyDescent="0.25">
      <c r="BP2416" s="2"/>
      <c r="BQ2416" s="2"/>
      <c r="BR2416" s="2"/>
      <c r="BS2416" s="2"/>
      <c r="BT2416" s="2"/>
      <c r="BU2416" s="2"/>
    </row>
    <row r="2417" spans="68:73" x14ac:dyDescent="0.25">
      <c r="BP2417" s="2"/>
      <c r="BQ2417" s="2"/>
      <c r="BR2417" s="2"/>
      <c r="BS2417" s="2"/>
      <c r="BT2417" s="2"/>
      <c r="BU2417" s="2"/>
    </row>
    <row r="2418" spans="68:73" x14ac:dyDescent="0.25">
      <c r="BP2418" s="2"/>
      <c r="BQ2418" s="2"/>
      <c r="BR2418" s="2"/>
      <c r="BS2418" s="2"/>
      <c r="BT2418" s="2"/>
      <c r="BU2418" s="2"/>
    </row>
    <row r="2419" spans="68:73" x14ac:dyDescent="0.25">
      <c r="BP2419" s="2"/>
      <c r="BQ2419" s="2"/>
      <c r="BR2419" s="2"/>
      <c r="BS2419" s="2"/>
      <c r="BT2419" s="2"/>
      <c r="BU2419" s="2"/>
    </row>
    <row r="2420" spans="68:73" x14ac:dyDescent="0.25">
      <c r="BP2420" s="2"/>
      <c r="BQ2420" s="2"/>
      <c r="BR2420" s="2"/>
      <c r="BS2420" s="2"/>
      <c r="BT2420" s="2"/>
      <c r="BU2420" s="2"/>
    </row>
    <row r="2421" spans="68:73" x14ac:dyDescent="0.25">
      <c r="BP2421" s="2"/>
      <c r="BQ2421" s="2"/>
      <c r="BR2421" s="2"/>
      <c r="BS2421" s="2"/>
      <c r="BT2421" s="2"/>
      <c r="BU2421" s="2"/>
    </row>
    <row r="2422" spans="68:73" x14ac:dyDescent="0.25">
      <c r="BP2422" s="2"/>
      <c r="BQ2422" s="2"/>
      <c r="BR2422" s="2"/>
      <c r="BS2422" s="2"/>
      <c r="BT2422" s="2"/>
      <c r="BU2422" s="2"/>
    </row>
    <row r="2423" spans="68:73" x14ac:dyDescent="0.25">
      <c r="BP2423" s="2"/>
      <c r="BQ2423" s="2"/>
      <c r="BR2423" s="2"/>
      <c r="BS2423" s="2"/>
      <c r="BT2423" s="2"/>
      <c r="BU2423" s="2"/>
    </row>
    <row r="2424" spans="68:73" x14ac:dyDescent="0.25">
      <c r="BP2424" s="2"/>
      <c r="BQ2424" s="2"/>
      <c r="BR2424" s="2"/>
      <c r="BS2424" s="2"/>
      <c r="BT2424" s="2"/>
      <c r="BU2424" s="2"/>
    </row>
    <row r="2425" spans="68:73" x14ac:dyDescent="0.25">
      <c r="BP2425" s="2"/>
      <c r="BQ2425" s="2"/>
      <c r="BR2425" s="2"/>
      <c r="BS2425" s="2"/>
      <c r="BT2425" s="2"/>
      <c r="BU2425" s="2"/>
    </row>
    <row r="2426" spans="68:73" x14ac:dyDescent="0.25">
      <c r="BP2426" s="2"/>
      <c r="BQ2426" s="2"/>
      <c r="BR2426" s="2"/>
      <c r="BS2426" s="2"/>
      <c r="BT2426" s="2"/>
      <c r="BU2426" s="2"/>
    </row>
    <row r="2427" spans="68:73" x14ac:dyDescent="0.25">
      <c r="BP2427" s="2"/>
      <c r="BQ2427" s="2"/>
      <c r="BR2427" s="2"/>
      <c r="BS2427" s="2"/>
      <c r="BT2427" s="2"/>
      <c r="BU2427" s="2"/>
    </row>
    <row r="2428" spans="68:73" x14ac:dyDescent="0.25">
      <c r="BP2428" s="2"/>
      <c r="BQ2428" s="2"/>
      <c r="BR2428" s="2"/>
      <c r="BS2428" s="2"/>
      <c r="BT2428" s="2"/>
      <c r="BU2428" s="2"/>
    </row>
    <row r="2429" spans="68:73" x14ac:dyDescent="0.25">
      <c r="BP2429" s="2"/>
      <c r="BQ2429" s="2"/>
      <c r="BR2429" s="2"/>
      <c r="BS2429" s="2"/>
      <c r="BT2429" s="2"/>
      <c r="BU2429" s="2"/>
    </row>
    <row r="2430" spans="68:73" x14ac:dyDescent="0.25">
      <c r="BP2430" s="2"/>
      <c r="BQ2430" s="2"/>
      <c r="BR2430" s="2"/>
      <c r="BS2430" s="2"/>
      <c r="BT2430" s="2"/>
      <c r="BU2430" s="2"/>
    </row>
    <row r="2431" spans="68:73" x14ac:dyDescent="0.25">
      <c r="BP2431" s="2"/>
      <c r="BQ2431" s="2"/>
      <c r="BR2431" s="2"/>
      <c r="BS2431" s="2"/>
      <c r="BT2431" s="2"/>
      <c r="BU2431" s="2"/>
    </row>
    <row r="2432" spans="68:73" x14ac:dyDescent="0.25">
      <c r="BP2432" s="2"/>
      <c r="BQ2432" s="2"/>
      <c r="BR2432" s="2"/>
      <c r="BS2432" s="2"/>
      <c r="BT2432" s="2"/>
      <c r="BU2432" s="2"/>
    </row>
    <row r="2433" spans="68:73" x14ac:dyDescent="0.25">
      <c r="BP2433" s="2"/>
      <c r="BQ2433" s="2"/>
      <c r="BR2433" s="2"/>
      <c r="BS2433" s="2"/>
      <c r="BT2433" s="2"/>
      <c r="BU2433" s="2"/>
    </row>
    <row r="2434" spans="68:73" x14ac:dyDescent="0.25">
      <c r="BP2434" s="2"/>
      <c r="BQ2434" s="2"/>
      <c r="BR2434" s="2"/>
      <c r="BS2434" s="2"/>
      <c r="BT2434" s="2"/>
      <c r="BU2434" s="2"/>
    </row>
    <row r="2435" spans="68:73" x14ac:dyDescent="0.25">
      <c r="BP2435" s="2"/>
      <c r="BQ2435" s="2"/>
      <c r="BR2435" s="2"/>
      <c r="BS2435" s="2"/>
      <c r="BT2435" s="2"/>
      <c r="BU2435" s="2"/>
    </row>
    <row r="2436" spans="68:73" x14ac:dyDescent="0.25">
      <c r="BP2436" s="2"/>
      <c r="BQ2436" s="2"/>
      <c r="BR2436" s="2"/>
      <c r="BS2436" s="2"/>
      <c r="BT2436" s="2"/>
      <c r="BU2436" s="2"/>
    </row>
    <row r="2437" spans="68:73" x14ac:dyDescent="0.25">
      <c r="BP2437" s="2"/>
      <c r="BQ2437" s="2"/>
      <c r="BR2437" s="2"/>
      <c r="BS2437" s="2"/>
      <c r="BT2437" s="2"/>
      <c r="BU2437" s="2"/>
    </row>
    <row r="2438" spans="68:73" x14ac:dyDescent="0.25">
      <c r="BP2438" s="2"/>
      <c r="BQ2438" s="2"/>
      <c r="BR2438" s="2"/>
      <c r="BS2438" s="2"/>
      <c r="BT2438" s="2"/>
      <c r="BU2438" s="2"/>
    </row>
    <row r="2439" spans="68:73" x14ac:dyDescent="0.25">
      <c r="BP2439" s="2"/>
      <c r="BQ2439" s="2"/>
      <c r="BR2439" s="2"/>
      <c r="BS2439" s="2"/>
      <c r="BT2439" s="2"/>
      <c r="BU2439" s="2"/>
    </row>
    <row r="2440" spans="68:73" x14ac:dyDescent="0.25">
      <c r="BP2440" s="2"/>
      <c r="BQ2440" s="2"/>
      <c r="BR2440" s="2"/>
      <c r="BS2440" s="2"/>
      <c r="BT2440" s="2"/>
      <c r="BU2440" s="2"/>
    </row>
    <row r="2441" spans="68:73" x14ac:dyDescent="0.25">
      <c r="BP2441" s="2"/>
      <c r="BQ2441" s="2"/>
      <c r="BR2441" s="2"/>
      <c r="BS2441" s="2"/>
      <c r="BT2441" s="2"/>
      <c r="BU2441" s="2"/>
    </row>
    <row r="2442" spans="68:73" x14ac:dyDescent="0.25">
      <c r="BP2442" s="2"/>
      <c r="BQ2442" s="2"/>
      <c r="BR2442" s="2"/>
      <c r="BS2442" s="2"/>
      <c r="BT2442" s="2"/>
      <c r="BU2442" s="2"/>
    </row>
    <row r="2443" spans="68:73" x14ac:dyDescent="0.25">
      <c r="BP2443" s="2"/>
      <c r="BQ2443" s="2"/>
      <c r="BR2443" s="2"/>
      <c r="BS2443" s="2"/>
      <c r="BT2443" s="2"/>
      <c r="BU2443" s="2"/>
    </row>
    <row r="2444" spans="68:73" x14ac:dyDescent="0.25">
      <c r="BP2444" s="2"/>
      <c r="BQ2444" s="2"/>
      <c r="BR2444" s="2"/>
      <c r="BS2444" s="2"/>
      <c r="BT2444" s="2"/>
      <c r="BU2444" s="2"/>
    </row>
    <row r="2445" spans="68:73" x14ac:dyDescent="0.25">
      <c r="BP2445" s="2"/>
      <c r="BQ2445" s="2"/>
      <c r="BR2445" s="2"/>
      <c r="BS2445" s="2"/>
      <c r="BT2445" s="2"/>
      <c r="BU2445" s="2"/>
    </row>
    <row r="2446" spans="68:73" x14ac:dyDescent="0.25">
      <c r="BP2446" s="2"/>
      <c r="BQ2446" s="2"/>
      <c r="BR2446" s="2"/>
      <c r="BS2446" s="2"/>
      <c r="BT2446" s="2"/>
      <c r="BU2446" s="2"/>
    </row>
    <row r="2447" spans="68:73" x14ac:dyDescent="0.25">
      <c r="BP2447" s="2"/>
      <c r="BQ2447" s="2"/>
      <c r="BR2447" s="2"/>
      <c r="BS2447" s="2"/>
      <c r="BT2447" s="2"/>
      <c r="BU2447" s="2"/>
    </row>
    <row r="2448" spans="68:73" x14ac:dyDescent="0.25">
      <c r="BP2448" s="2"/>
      <c r="BQ2448" s="2"/>
      <c r="BR2448" s="2"/>
      <c r="BS2448" s="2"/>
      <c r="BT2448" s="2"/>
      <c r="BU2448" s="2"/>
    </row>
    <row r="2449" spans="68:73" x14ac:dyDescent="0.25">
      <c r="BP2449" s="2"/>
      <c r="BQ2449" s="2"/>
      <c r="BR2449" s="2"/>
      <c r="BS2449" s="2"/>
      <c r="BT2449" s="2"/>
      <c r="BU2449" s="2"/>
    </row>
    <row r="2450" spans="68:73" x14ac:dyDescent="0.25">
      <c r="BP2450" s="2"/>
      <c r="BQ2450" s="2"/>
      <c r="BR2450" s="2"/>
      <c r="BS2450" s="2"/>
      <c r="BT2450" s="2"/>
      <c r="BU2450" s="2"/>
    </row>
    <row r="2451" spans="68:73" x14ac:dyDescent="0.25">
      <c r="BP2451" s="2"/>
      <c r="BQ2451" s="2"/>
      <c r="BR2451" s="2"/>
      <c r="BS2451" s="2"/>
      <c r="BT2451" s="2"/>
      <c r="BU2451" s="2"/>
    </row>
    <row r="2452" spans="68:73" x14ac:dyDescent="0.25">
      <c r="BP2452" s="2"/>
      <c r="BQ2452" s="2"/>
      <c r="BR2452" s="2"/>
      <c r="BS2452" s="2"/>
      <c r="BT2452" s="2"/>
      <c r="BU2452" s="2"/>
    </row>
    <row r="2453" spans="68:73" x14ac:dyDescent="0.25">
      <c r="BP2453" s="2"/>
      <c r="BQ2453" s="2"/>
      <c r="BR2453" s="2"/>
      <c r="BS2453" s="2"/>
      <c r="BT2453" s="2"/>
      <c r="BU2453" s="2"/>
    </row>
    <row r="2454" spans="68:73" x14ac:dyDescent="0.25">
      <c r="BP2454" s="2"/>
      <c r="BQ2454" s="2"/>
      <c r="BR2454" s="2"/>
      <c r="BS2454" s="2"/>
      <c r="BT2454" s="2"/>
      <c r="BU2454" s="2"/>
    </row>
    <row r="2455" spans="68:73" x14ac:dyDescent="0.25">
      <c r="BP2455" s="2"/>
      <c r="BQ2455" s="2"/>
      <c r="BR2455" s="2"/>
      <c r="BS2455" s="2"/>
      <c r="BT2455" s="2"/>
      <c r="BU2455" s="2"/>
    </row>
    <row r="2456" spans="68:73" x14ac:dyDescent="0.25">
      <c r="BP2456" s="2"/>
      <c r="BQ2456" s="2"/>
      <c r="BR2456" s="2"/>
      <c r="BS2456" s="2"/>
      <c r="BT2456" s="2"/>
      <c r="BU2456" s="2"/>
    </row>
    <row r="2457" spans="68:73" x14ac:dyDescent="0.25">
      <c r="BP2457" s="2"/>
      <c r="BQ2457" s="2"/>
      <c r="BR2457" s="2"/>
      <c r="BS2457" s="2"/>
      <c r="BT2457" s="2"/>
      <c r="BU2457" s="2"/>
    </row>
    <row r="2458" spans="68:73" x14ac:dyDescent="0.25">
      <c r="BP2458" s="2"/>
      <c r="BQ2458" s="2"/>
      <c r="BR2458" s="2"/>
      <c r="BS2458" s="2"/>
      <c r="BT2458" s="2"/>
      <c r="BU2458" s="2"/>
    </row>
    <row r="2459" spans="68:73" x14ac:dyDescent="0.25">
      <c r="BP2459" s="2"/>
      <c r="BQ2459" s="2"/>
      <c r="BR2459" s="2"/>
      <c r="BS2459" s="2"/>
      <c r="BT2459" s="2"/>
      <c r="BU2459" s="2"/>
    </row>
    <row r="2460" spans="68:73" x14ac:dyDescent="0.25">
      <c r="BP2460" s="2"/>
      <c r="BQ2460" s="2"/>
      <c r="BR2460" s="2"/>
      <c r="BS2460" s="2"/>
      <c r="BT2460" s="2"/>
      <c r="BU2460" s="2"/>
    </row>
    <row r="2461" spans="68:73" x14ac:dyDescent="0.25">
      <c r="BP2461" s="2"/>
      <c r="BQ2461" s="2"/>
      <c r="BR2461" s="2"/>
      <c r="BS2461" s="2"/>
      <c r="BT2461" s="2"/>
      <c r="BU2461" s="2"/>
    </row>
    <row r="2462" spans="68:73" x14ac:dyDescent="0.25">
      <c r="BP2462" s="2"/>
      <c r="BQ2462" s="2"/>
      <c r="BR2462" s="2"/>
      <c r="BS2462" s="2"/>
      <c r="BT2462" s="2"/>
      <c r="BU2462" s="2"/>
    </row>
    <row r="2463" spans="68:73" x14ac:dyDescent="0.25">
      <c r="BP2463" s="2"/>
      <c r="BQ2463" s="2"/>
      <c r="BR2463" s="2"/>
      <c r="BS2463" s="2"/>
      <c r="BT2463" s="2"/>
      <c r="BU2463" s="2"/>
    </row>
    <row r="2464" spans="68:73" x14ac:dyDescent="0.25">
      <c r="BP2464" s="2"/>
      <c r="BQ2464" s="2"/>
      <c r="BR2464" s="2"/>
      <c r="BS2464" s="2"/>
      <c r="BT2464" s="2"/>
      <c r="BU2464" s="2"/>
    </row>
    <row r="2465" spans="68:73" x14ac:dyDescent="0.25">
      <c r="BP2465" s="2"/>
      <c r="BQ2465" s="2"/>
      <c r="BR2465" s="2"/>
      <c r="BS2465" s="2"/>
      <c r="BT2465" s="2"/>
      <c r="BU2465" s="2"/>
    </row>
    <row r="2466" spans="68:73" x14ac:dyDescent="0.25">
      <c r="BP2466" s="2"/>
      <c r="BQ2466" s="2"/>
      <c r="BR2466" s="2"/>
      <c r="BS2466" s="2"/>
      <c r="BT2466" s="2"/>
      <c r="BU2466" s="2"/>
    </row>
    <row r="2467" spans="68:73" x14ac:dyDescent="0.25">
      <c r="BP2467" s="2"/>
      <c r="BQ2467" s="2"/>
      <c r="BR2467" s="2"/>
      <c r="BS2467" s="2"/>
      <c r="BT2467" s="2"/>
      <c r="BU2467" s="2"/>
    </row>
    <row r="2468" spans="68:73" x14ac:dyDescent="0.25">
      <c r="BP2468" s="2"/>
      <c r="BQ2468" s="2"/>
      <c r="BR2468" s="2"/>
      <c r="BS2468" s="2"/>
      <c r="BT2468" s="2"/>
      <c r="BU2468" s="2"/>
    </row>
    <row r="2469" spans="68:73" x14ac:dyDescent="0.25">
      <c r="BP2469" s="2"/>
      <c r="BQ2469" s="2"/>
      <c r="BR2469" s="2"/>
      <c r="BS2469" s="2"/>
      <c r="BT2469" s="2"/>
      <c r="BU2469" s="2"/>
    </row>
    <row r="2470" spans="68:73" x14ac:dyDescent="0.25">
      <c r="BP2470" s="2"/>
      <c r="BQ2470" s="2"/>
      <c r="BR2470" s="2"/>
      <c r="BS2470" s="2"/>
      <c r="BT2470" s="2"/>
      <c r="BU2470" s="2"/>
    </row>
    <row r="2471" spans="68:73" x14ac:dyDescent="0.25">
      <c r="BP2471" s="2"/>
      <c r="BQ2471" s="2"/>
      <c r="BR2471" s="2"/>
      <c r="BS2471" s="2"/>
      <c r="BT2471" s="2"/>
      <c r="BU2471" s="2"/>
    </row>
    <row r="2472" spans="68:73" x14ac:dyDescent="0.25">
      <c r="BP2472" s="2"/>
      <c r="BQ2472" s="2"/>
      <c r="BR2472" s="2"/>
      <c r="BS2472" s="2"/>
      <c r="BT2472" s="2"/>
      <c r="BU2472" s="2"/>
    </row>
    <row r="2473" spans="68:73" x14ac:dyDescent="0.25">
      <c r="BP2473" s="2"/>
      <c r="BQ2473" s="2"/>
      <c r="BR2473" s="2"/>
      <c r="BS2473" s="2"/>
      <c r="BT2473" s="2"/>
      <c r="BU2473" s="2"/>
    </row>
    <row r="2474" spans="68:73" x14ac:dyDescent="0.25">
      <c r="BP2474" s="2"/>
      <c r="BQ2474" s="2"/>
      <c r="BR2474" s="2"/>
      <c r="BS2474" s="2"/>
      <c r="BT2474" s="2"/>
      <c r="BU2474" s="2"/>
    </row>
    <row r="2475" spans="68:73" x14ac:dyDescent="0.25">
      <c r="BP2475" s="2"/>
      <c r="BQ2475" s="2"/>
      <c r="BR2475" s="2"/>
      <c r="BS2475" s="2"/>
      <c r="BT2475" s="2"/>
      <c r="BU2475" s="2"/>
    </row>
    <row r="2476" spans="68:73" x14ac:dyDescent="0.25">
      <c r="BP2476" s="2"/>
      <c r="BQ2476" s="2"/>
      <c r="BR2476" s="2"/>
      <c r="BS2476" s="2"/>
      <c r="BT2476" s="2"/>
      <c r="BU2476" s="2"/>
    </row>
    <row r="2477" spans="68:73" x14ac:dyDescent="0.25">
      <c r="BP2477" s="2"/>
      <c r="BQ2477" s="2"/>
      <c r="BR2477" s="2"/>
      <c r="BS2477" s="2"/>
      <c r="BT2477" s="2"/>
      <c r="BU2477" s="2"/>
    </row>
    <row r="2478" spans="68:73" x14ac:dyDescent="0.25">
      <c r="BP2478" s="2"/>
      <c r="BQ2478" s="2"/>
      <c r="BR2478" s="2"/>
      <c r="BS2478" s="2"/>
      <c r="BT2478" s="2"/>
      <c r="BU2478" s="2"/>
    </row>
    <row r="2479" spans="68:73" x14ac:dyDescent="0.25">
      <c r="BP2479" s="2"/>
      <c r="BQ2479" s="2"/>
      <c r="BR2479" s="2"/>
      <c r="BS2479" s="2"/>
      <c r="BT2479" s="2"/>
      <c r="BU2479" s="2"/>
    </row>
    <row r="2480" spans="68:73" x14ac:dyDescent="0.25">
      <c r="BP2480" s="2"/>
      <c r="BQ2480" s="2"/>
      <c r="BR2480" s="2"/>
      <c r="BS2480" s="2"/>
      <c r="BT2480" s="2"/>
      <c r="BU2480" s="2"/>
    </row>
    <row r="2481" spans="68:73" x14ac:dyDescent="0.25">
      <c r="BP2481" s="2"/>
      <c r="BQ2481" s="2"/>
      <c r="BR2481" s="2"/>
      <c r="BS2481" s="2"/>
      <c r="BT2481" s="2"/>
      <c r="BU2481" s="2"/>
    </row>
    <row r="2482" spans="68:73" x14ac:dyDescent="0.25">
      <c r="BP2482" s="2"/>
      <c r="BQ2482" s="2"/>
      <c r="BR2482" s="2"/>
      <c r="BS2482" s="2"/>
      <c r="BT2482" s="2"/>
      <c r="BU2482" s="2"/>
    </row>
    <row r="2483" spans="68:73" x14ac:dyDescent="0.25">
      <c r="BP2483" s="2"/>
      <c r="BQ2483" s="2"/>
      <c r="BR2483" s="2"/>
      <c r="BS2483" s="2"/>
      <c r="BT2483" s="2"/>
      <c r="BU2483" s="2"/>
    </row>
    <row r="2484" spans="68:73" x14ac:dyDescent="0.25">
      <c r="BP2484" s="2"/>
      <c r="BQ2484" s="2"/>
      <c r="BR2484" s="2"/>
      <c r="BS2484" s="2"/>
      <c r="BT2484" s="2"/>
      <c r="BU2484" s="2"/>
    </row>
    <row r="2485" spans="68:73" x14ac:dyDescent="0.25">
      <c r="BP2485" s="2"/>
      <c r="BQ2485" s="2"/>
      <c r="BR2485" s="2"/>
      <c r="BS2485" s="2"/>
      <c r="BT2485" s="2"/>
      <c r="BU2485" s="2"/>
    </row>
    <row r="2486" spans="68:73" x14ac:dyDescent="0.25">
      <c r="BP2486" s="2"/>
      <c r="BQ2486" s="2"/>
      <c r="BR2486" s="2"/>
      <c r="BS2486" s="2"/>
      <c r="BT2486" s="2"/>
      <c r="BU2486" s="2"/>
    </row>
    <row r="2487" spans="68:73" x14ac:dyDescent="0.25">
      <c r="BP2487" s="2"/>
      <c r="BQ2487" s="2"/>
      <c r="BR2487" s="2"/>
      <c r="BS2487" s="2"/>
      <c r="BT2487" s="2"/>
      <c r="BU2487" s="2"/>
    </row>
    <row r="2488" spans="68:73" x14ac:dyDescent="0.25">
      <c r="BP2488" s="2"/>
      <c r="BQ2488" s="2"/>
      <c r="BR2488" s="2"/>
      <c r="BS2488" s="2"/>
      <c r="BT2488" s="2"/>
      <c r="BU2488" s="2"/>
    </row>
    <row r="2489" spans="68:73" x14ac:dyDescent="0.25">
      <c r="BP2489" s="2"/>
      <c r="BQ2489" s="2"/>
      <c r="BR2489" s="2"/>
      <c r="BS2489" s="2"/>
      <c r="BT2489" s="2"/>
      <c r="BU2489" s="2"/>
    </row>
    <row r="2490" spans="68:73" x14ac:dyDescent="0.25">
      <c r="BP2490" s="2"/>
      <c r="BQ2490" s="2"/>
      <c r="BR2490" s="2"/>
      <c r="BS2490" s="2"/>
      <c r="BT2490" s="2"/>
      <c r="BU2490" s="2"/>
    </row>
    <row r="2491" spans="68:73" x14ac:dyDescent="0.25">
      <c r="BP2491" s="2"/>
      <c r="BQ2491" s="2"/>
      <c r="BR2491" s="2"/>
      <c r="BS2491" s="2"/>
      <c r="BT2491" s="2"/>
      <c r="BU2491" s="2"/>
    </row>
    <row r="2492" spans="68:73" x14ac:dyDescent="0.25">
      <c r="BP2492" s="2"/>
      <c r="BQ2492" s="2"/>
      <c r="BR2492" s="2"/>
      <c r="BS2492" s="2"/>
      <c r="BT2492" s="2"/>
      <c r="BU2492" s="2"/>
    </row>
    <row r="2493" spans="68:73" x14ac:dyDescent="0.25">
      <c r="BP2493" s="2"/>
      <c r="BQ2493" s="2"/>
      <c r="BR2493" s="2"/>
      <c r="BS2493" s="2"/>
      <c r="BT2493" s="2"/>
      <c r="BU2493" s="2"/>
    </row>
    <row r="2494" spans="68:73" x14ac:dyDescent="0.25">
      <c r="BP2494" s="2"/>
      <c r="BQ2494" s="2"/>
      <c r="BR2494" s="2"/>
      <c r="BS2494" s="2"/>
      <c r="BT2494" s="2"/>
      <c r="BU2494" s="2"/>
    </row>
    <row r="2495" spans="68:73" x14ac:dyDescent="0.25">
      <c r="BP2495" s="2"/>
      <c r="BQ2495" s="2"/>
      <c r="BR2495" s="2"/>
      <c r="BS2495" s="2"/>
      <c r="BT2495" s="2"/>
      <c r="BU2495" s="2"/>
    </row>
    <row r="2496" spans="68:73" x14ac:dyDescent="0.25">
      <c r="BP2496" s="2"/>
      <c r="BQ2496" s="2"/>
      <c r="BR2496" s="2"/>
      <c r="BS2496" s="2"/>
      <c r="BT2496" s="2"/>
      <c r="BU2496" s="2"/>
    </row>
    <row r="2497" spans="68:73" x14ac:dyDescent="0.25">
      <c r="BP2497" s="2"/>
      <c r="BQ2497" s="2"/>
      <c r="BR2497" s="2"/>
      <c r="BS2497" s="2"/>
      <c r="BT2497" s="2"/>
      <c r="BU2497" s="2"/>
    </row>
    <row r="2498" spans="68:73" x14ac:dyDescent="0.25">
      <c r="BP2498" s="2"/>
      <c r="BQ2498" s="2"/>
      <c r="BR2498" s="2"/>
      <c r="BS2498" s="2"/>
      <c r="BT2498" s="2"/>
      <c r="BU2498" s="2"/>
    </row>
    <row r="2499" spans="68:73" x14ac:dyDescent="0.25">
      <c r="BP2499" s="2"/>
      <c r="BQ2499" s="2"/>
      <c r="BR2499" s="2"/>
      <c r="BS2499" s="2"/>
      <c r="BT2499" s="2"/>
      <c r="BU2499" s="2"/>
    </row>
    <row r="2500" spans="68:73" x14ac:dyDescent="0.25">
      <c r="BP2500" s="2"/>
      <c r="BQ2500" s="2"/>
      <c r="BR2500" s="2"/>
      <c r="BS2500" s="2"/>
      <c r="BT2500" s="2"/>
      <c r="BU2500" s="2"/>
    </row>
    <row r="2501" spans="68:73" x14ac:dyDescent="0.25">
      <c r="BP2501" s="2"/>
      <c r="BQ2501" s="2"/>
      <c r="BR2501" s="2"/>
      <c r="BS2501" s="2"/>
      <c r="BT2501" s="2"/>
      <c r="BU2501" s="2"/>
    </row>
    <row r="2502" spans="68:73" x14ac:dyDescent="0.25">
      <c r="BP2502" s="2"/>
      <c r="BQ2502" s="2"/>
      <c r="BR2502" s="2"/>
      <c r="BS2502" s="2"/>
      <c r="BT2502" s="2"/>
      <c r="BU2502" s="2"/>
    </row>
    <row r="2503" spans="68:73" x14ac:dyDescent="0.25">
      <c r="BP2503" s="2"/>
      <c r="BQ2503" s="2"/>
      <c r="BR2503" s="2"/>
      <c r="BS2503" s="2"/>
      <c r="BT2503" s="2"/>
      <c r="BU2503" s="2"/>
    </row>
    <row r="2504" spans="68:73" x14ac:dyDescent="0.25">
      <c r="BP2504" s="2"/>
      <c r="BQ2504" s="2"/>
      <c r="BR2504" s="2"/>
      <c r="BS2504" s="2"/>
      <c r="BT2504" s="2"/>
      <c r="BU2504" s="2"/>
    </row>
    <row r="2505" spans="68:73" x14ac:dyDescent="0.25">
      <c r="BP2505" s="2"/>
      <c r="BQ2505" s="2"/>
      <c r="BR2505" s="2"/>
      <c r="BS2505" s="2"/>
      <c r="BT2505" s="2"/>
      <c r="BU2505" s="2"/>
    </row>
    <row r="2506" spans="68:73" x14ac:dyDescent="0.25">
      <c r="BP2506" s="2"/>
      <c r="BQ2506" s="2"/>
      <c r="BR2506" s="2"/>
      <c r="BS2506" s="2"/>
      <c r="BT2506" s="2"/>
      <c r="BU2506" s="2"/>
    </row>
    <row r="2507" spans="68:73" x14ac:dyDescent="0.25">
      <c r="BP2507" s="2"/>
      <c r="BQ2507" s="2"/>
      <c r="BR2507" s="2"/>
      <c r="BS2507" s="2"/>
      <c r="BT2507" s="2"/>
      <c r="BU2507" s="2"/>
    </row>
    <row r="2508" spans="68:73" x14ac:dyDescent="0.25">
      <c r="BP2508" s="2"/>
      <c r="BQ2508" s="2"/>
      <c r="BR2508" s="2"/>
      <c r="BS2508" s="2"/>
      <c r="BT2508" s="2"/>
      <c r="BU2508" s="2"/>
    </row>
    <row r="2509" spans="68:73" x14ac:dyDescent="0.25">
      <c r="BP2509" s="2"/>
      <c r="BQ2509" s="2"/>
      <c r="BR2509" s="2"/>
      <c r="BS2509" s="2"/>
      <c r="BT2509" s="2"/>
      <c r="BU2509" s="2"/>
    </row>
    <row r="2510" spans="68:73" x14ac:dyDescent="0.25">
      <c r="BP2510" s="2"/>
      <c r="BQ2510" s="2"/>
      <c r="BR2510" s="2"/>
      <c r="BS2510" s="2"/>
      <c r="BT2510" s="2"/>
      <c r="BU2510" s="2"/>
    </row>
    <row r="2511" spans="68:73" x14ac:dyDescent="0.25">
      <c r="BP2511" s="2"/>
      <c r="BQ2511" s="2"/>
      <c r="BR2511" s="2"/>
      <c r="BS2511" s="2"/>
      <c r="BT2511" s="2"/>
      <c r="BU2511" s="2"/>
    </row>
    <row r="2512" spans="68:73" x14ac:dyDescent="0.25">
      <c r="BP2512" s="2"/>
      <c r="BQ2512" s="2"/>
      <c r="BR2512" s="2"/>
      <c r="BS2512" s="2"/>
      <c r="BT2512" s="2"/>
      <c r="BU2512" s="2"/>
    </row>
    <row r="2513" spans="68:73" x14ac:dyDescent="0.25">
      <c r="BP2513" s="2"/>
      <c r="BQ2513" s="2"/>
      <c r="BR2513" s="2"/>
      <c r="BS2513" s="2"/>
      <c r="BT2513" s="2"/>
      <c r="BU2513" s="2"/>
    </row>
    <row r="2514" spans="68:73" x14ac:dyDescent="0.25">
      <c r="BP2514" s="2"/>
      <c r="BQ2514" s="2"/>
      <c r="BR2514" s="2"/>
      <c r="BS2514" s="2"/>
      <c r="BT2514" s="2"/>
      <c r="BU2514" s="2"/>
    </row>
    <row r="2515" spans="68:73" x14ac:dyDescent="0.25">
      <c r="BP2515" s="2"/>
      <c r="BQ2515" s="2"/>
      <c r="BR2515" s="2"/>
      <c r="BS2515" s="2"/>
      <c r="BT2515" s="2"/>
      <c r="BU2515" s="2"/>
    </row>
    <row r="2516" spans="68:73" x14ac:dyDescent="0.25">
      <c r="BP2516" s="2"/>
      <c r="BQ2516" s="2"/>
      <c r="BR2516" s="2"/>
      <c r="BS2516" s="2"/>
      <c r="BT2516" s="2"/>
      <c r="BU2516" s="2"/>
    </row>
    <row r="2517" spans="68:73" x14ac:dyDescent="0.25">
      <c r="BP2517" s="2"/>
      <c r="BQ2517" s="2"/>
      <c r="BR2517" s="2"/>
      <c r="BS2517" s="2"/>
      <c r="BT2517" s="2"/>
      <c r="BU2517" s="2"/>
    </row>
    <row r="2518" spans="68:73" x14ac:dyDescent="0.25">
      <c r="BP2518" s="2"/>
      <c r="BQ2518" s="2"/>
      <c r="BR2518" s="2"/>
      <c r="BS2518" s="2"/>
      <c r="BT2518" s="2"/>
      <c r="BU2518" s="2"/>
    </row>
    <row r="2519" spans="68:73" x14ac:dyDescent="0.25">
      <c r="BP2519" s="2"/>
      <c r="BQ2519" s="2"/>
      <c r="BR2519" s="2"/>
      <c r="BS2519" s="2"/>
      <c r="BT2519" s="2"/>
      <c r="BU2519" s="2"/>
    </row>
    <row r="2520" spans="68:73" x14ac:dyDescent="0.25">
      <c r="BP2520" s="2"/>
      <c r="BQ2520" s="2"/>
      <c r="BR2520" s="2"/>
      <c r="BS2520" s="2"/>
      <c r="BT2520" s="2"/>
      <c r="BU2520" s="2"/>
    </row>
    <row r="2521" spans="68:73" x14ac:dyDescent="0.25">
      <c r="BP2521" s="2"/>
      <c r="BQ2521" s="2"/>
      <c r="BR2521" s="2"/>
      <c r="BS2521" s="2"/>
      <c r="BT2521" s="2"/>
      <c r="BU2521" s="2"/>
    </row>
    <row r="2522" spans="68:73" x14ac:dyDescent="0.25">
      <c r="BP2522" s="2"/>
      <c r="BQ2522" s="2"/>
      <c r="BR2522" s="2"/>
      <c r="BS2522" s="2"/>
      <c r="BT2522" s="2"/>
      <c r="BU2522" s="2"/>
    </row>
    <row r="2523" spans="68:73" x14ac:dyDescent="0.25">
      <c r="BP2523" s="2"/>
      <c r="BQ2523" s="2"/>
      <c r="BR2523" s="2"/>
      <c r="BS2523" s="2"/>
      <c r="BT2523" s="2"/>
      <c r="BU2523" s="2"/>
    </row>
    <row r="2524" spans="68:73" x14ac:dyDescent="0.25">
      <c r="BP2524" s="2"/>
      <c r="BQ2524" s="2"/>
      <c r="BR2524" s="2"/>
      <c r="BS2524" s="2"/>
      <c r="BT2524" s="2"/>
      <c r="BU2524" s="2"/>
    </row>
    <row r="2525" spans="68:73" x14ac:dyDescent="0.25">
      <c r="BP2525" s="2"/>
      <c r="BQ2525" s="2"/>
      <c r="BR2525" s="2"/>
      <c r="BS2525" s="2"/>
      <c r="BT2525" s="2"/>
      <c r="BU2525" s="2"/>
    </row>
    <row r="2526" spans="68:73" x14ac:dyDescent="0.25">
      <c r="BP2526" s="2"/>
      <c r="BQ2526" s="2"/>
      <c r="BR2526" s="2"/>
      <c r="BS2526" s="2"/>
      <c r="BT2526" s="2"/>
      <c r="BU2526" s="2"/>
    </row>
    <row r="2527" spans="68:73" x14ac:dyDescent="0.25">
      <c r="BP2527" s="2"/>
      <c r="BQ2527" s="2"/>
      <c r="BR2527" s="2"/>
      <c r="BS2527" s="2"/>
      <c r="BT2527" s="2"/>
      <c r="BU2527" s="2"/>
    </row>
    <row r="2528" spans="68:73" x14ac:dyDescent="0.25">
      <c r="BP2528" s="2"/>
      <c r="BQ2528" s="2"/>
      <c r="BR2528" s="2"/>
      <c r="BS2528" s="2"/>
      <c r="BT2528" s="2"/>
      <c r="BU2528" s="2"/>
    </row>
    <row r="2529" spans="68:73" x14ac:dyDescent="0.25">
      <c r="BP2529" s="2"/>
      <c r="BQ2529" s="2"/>
      <c r="BR2529" s="2"/>
      <c r="BS2529" s="2"/>
      <c r="BT2529" s="2"/>
      <c r="BU2529" s="2"/>
    </row>
    <row r="2530" spans="68:73" x14ac:dyDescent="0.25">
      <c r="BP2530" s="2"/>
      <c r="BQ2530" s="2"/>
      <c r="BR2530" s="2"/>
      <c r="BS2530" s="2"/>
      <c r="BT2530" s="2"/>
      <c r="BU2530" s="2"/>
    </row>
    <row r="2531" spans="68:73" x14ac:dyDescent="0.25">
      <c r="BP2531" s="2"/>
      <c r="BQ2531" s="2"/>
      <c r="BR2531" s="2"/>
      <c r="BS2531" s="2"/>
      <c r="BT2531" s="2"/>
      <c r="BU2531" s="2"/>
    </row>
    <row r="2532" spans="68:73" x14ac:dyDescent="0.25">
      <c r="BP2532" s="2"/>
      <c r="BQ2532" s="2"/>
      <c r="BR2532" s="2"/>
      <c r="BS2532" s="2"/>
      <c r="BT2532" s="2"/>
      <c r="BU2532" s="2"/>
    </row>
    <row r="2533" spans="68:73" x14ac:dyDescent="0.25">
      <c r="BP2533" s="2"/>
      <c r="BQ2533" s="2"/>
      <c r="BR2533" s="2"/>
      <c r="BS2533" s="2"/>
      <c r="BT2533" s="2"/>
      <c r="BU2533" s="2"/>
    </row>
    <row r="2534" spans="68:73" x14ac:dyDescent="0.25">
      <c r="BP2534" s="2"/>
      <c r="BQ2534" s="2"/>
      <c r="BR2534" s="2"/>
      <c r="BS2534" s="2"/>
      <c r="BT2534" s="2"/>
      <c r="BU2534" s="2"/>
    </row>
    <row r="2535" spans="68:73" x14ac:dyDescent="0.25">
      <c r="BP2535" s="2"/>
      <c r="BQ2535" s="2"/>
      <c r="BR2535" s="2"/>
      <c r="BS2535" s="2"/>
      <c r="BT2535" s="2"/>
      <c r="BU2535" s="2"/>
    </row>
    <row r="2536" spans="68:73" x14ac:dyDescent="0.25">
      <c r="BP2536" s="2"/>
      <c r="BQ2536" s="2"/>
      <c r="BR2536" s="2"/>
      <c r="BS2536" s="2"/>
      <c r="BT2536" s="2"/>
      <c r="BU2536" s="2"/>
    </row>
    <row r="2537" spans="68:73" x14ac:dyDescent="0.25">
      <c r="BP2537" s="2"/>
      <c r="BQ2537" s="2"/>
      <c r="BR2537" s="2"/>
      <c r="BS2537" s="2"/>
      <c r="BT2537" s="2"/>
      <c r="BU2537" s="2"/>
    </row>
    <row r="2538" spans="68:73" x14ac:dyDescent="0.25">
      <c r="BP2538" s="2"/>
      <c r="BQ2538" s="2"/>
      <c r="BR2538" s="2"/>
      <c r="BS2538" s="2"/>
      <c r="BT2538" s="2"/>
      <c r="BU2538" s="2"/>
    </row>
    <row r="2539" spans="68:73" x14ac:dyDescent="0.25">
      <c r="BP2539" s="2"/>
      <c r="BQ2539" s="2"/>
      <c r="BR2539" s="2"/>
      <c r="BS2539" s="2"/>
      <c r="BT2539" s="2"/>
      <c r="BU2539" s="2"/>
    </row>
    <row r="2540" spans="68:73" x14ac:dyDescent="0.25">
      <c r="BP2540" s="2"/>
      <c r="BQ2540" s="2"/>
      <c r="BR2540" s="2"/>
      <c r="BS2540" s="2"/>
      <c r="BT2540" s="2"/>
      <c r="BU2540" s="2"/>
    </row>
    <row r="2541" spans="68:73" x14ac:dyDescent="0.25">
      <c r="BP2541" s="2"/>
      <c r="BQ2541" s="2"/>
      <c r="BR2541" s="2"/>
      <c r="BS2541" s="2"/>
      <c r="BT2541" s="2"/>
      <c r="BU2541" s="2"/>
    </row>
    <row r="2542" spans="68:73" x14ac:dyDescent="0.25">
      <c r="BP2542" s="2"/>
      <c r="BQ2542" s="2"/>
      <c r="BR2542" s="2"/>
      <c r="BS2542" s="2"/>
      <c r="BT2542" s="2"/>
      <c r="BU2542" s="2"/>
    </row>
    <row r="2543" spans="68:73" x14ac:dyDescent="0.25">
      <c r="BP2543" s="2"/>
      <c r="BQ2543" s="2"/>
      <c r="BR2543" s="2"/>
      <c r="BS2543" s="2"/>
      <c r="BT2543" s="2"/>
      <c r="BU2543" s="2"/>
    </row>
    <row r="2544" spans="68:73" x14ac:dyDescent="0.25">
      <c r="BP2544" s="2"/>
      <c r="BQ2544" s="2"/>
      <c r="BR2544" s="2"/>
      <c r="BS2544" s="2"/>
      <c r="BT2544" s="2"/>
      <c r="BU2544" s="2"/>
    </row>
    <row r="2545" spans="68:73" x14ac:dyDescent="0.25">
      <c r="BP2545" s="2"/>
      <c r="BQ2545" s="2"/>
      <c r="BR2545" s="2"/>
      <c r="BS2545" s="2"/>
      <c r="BT2545" s="2"/>
      <c r="BU2545" s="2"/>
    </row>
    <row r="2546" spans="68:73" x14ac:dyDescent="0.25">
      <c r="BP2546" s="2"/>
      <c r="BQ2546" s="2"/>
      <c r="BR2546" s="2"/>
      <c r="BS2546" s="2"/>
      <c r="BT2546" s="2"/>
      <c r="BU2546" s="2"/>
    </row>
    <row r="2547" spans="68:73" x14ac:dyDescent="0.25">
      <c r="BP2547" s="2"/>
      <c r="BQ2547" s="2"/>
      <c r="BR2547" s="2"/>
      <c r="BS2547" s="2"/>
      <c r="BT2547" s="2"/>
      <c r="BU2547" s="2"/>
    </row>
    <row r="2548" spans="68:73" x14ac:dyDescent="0.25">
      <c r="BP2548" s="2"/>
      <c r="BQ2548" s="2"/>
      <c r="BR2548" s="2"/>
      <c r="BS2548" s="2"/>
      <c r="BT2548" s="2"/>
      <c r="BU2548" s="2"/>
    </row>
    <row r="2549" spans="68:73" x14ac:dyDescent="0.25">
      <c r="BP2549" s="2"/>
      <c r="BQ2549" s="2"/>
      <c r="BR2549" s="2"/>
      <c r="BS2549" s="2"/>
      <c r="BT2549" s="2"/>
      <c r="BU2549" s="2"/>
    </row>
    <row r="2550" spans="68:73" x14ac:dyDescent="0.25">
      <c r="BP2550" s="2"/>
      <c r="BQ2550" s="2"/>
      <c r="BR2550" s="2"/>
      <c r="BS2550" s="2"/>
      <c r="BT2550" s="2"/>
      <c r="BU2550" s="2"/>
    </row>
    <row r="2551" spans="68:73" x14ac:dyDescent="0.25">
      <c r="BP2551" s="2"/>
      <c r="BQ2551" s="2"/>
      <c r="BR2551" s="2"/>
      <c r="BS2551" s="2"/>
      <c r="BT2551" s="2"/>
      <c r="BU2551" s="2"/>
    </row>
    <row r="2552" spans="68:73" x14ac:dyDescent="0.25">
      <c r="BP2552" s="2"/>
      <c r="BQ2552" s="2"/>
      <c r="BR2552" s="2"/>
      <c r="BS2552" s="2"/>
      <c r="BT2552" s="2"/>
      <c r="BU2552" s="2"/>
    </row>
    <row r="2553" spans="68:73" x14ac:dyDescent="0.25">
      <c r="BP2553" s="2"/>
      <c r="BQ2553" s="2"/>
      <c r="BR2553" s="2"/>
      <c r="BS2553" s="2"/>
      <c r="BT2553" s="2"/>
      <c r="BU2553" s="2"/>
    </row>
    <row r="2554" spans="68:73" x14ac:dyDescent="0.25">
      <c r="BP2554" s="2"/>
      <c r="BQ2554" s="2"/>
      <c r="BR2554" s="2"/>
      <c r="BS2554" s="2"/>
      <c r="BT2554" s="2"/>
      <c r="BU2554" s="2"/>
    </row>
    <row r="2555" spans="68:73" x14ac:dyDescent="0.25">
      <c r="BP2555" s="2"/>
      <c r="BQ2555" s="2"/>
      <c r="BR2555" s="2"/>
      <c r="BS2555" s="2"/>
      <c r="BT2555" s="2"/>
      <c r="BU2555" s="2"/>
    </row>
    <row r="2556" spans="68:73" x14ac:dyDescent="0.25">
      <c r="BP2556" s="2"/>
      <c r="BQ2556" s="2"/>
      <c r="BR2556" s="2"/>
      <c r="BS2556" s="2"/>
      <c r="BT2556" s="2"/>
      <c r="BU2556" s="2"/>
    </row>
    <row r="2557" spans="68:73" x14ac:dyDescent="0.25">
      <c r="BP2557" s="2"/>
      <c r="BQ2557" s="2"/>
      <c r="BR2557" s="2"/>
      <c r="BS2557" s="2"/>
      <c r="BT2557" s="2"/>
      <c r="BU2557" s="2"/>
    </row>
    <row r="2558" spans="68:73" x14ac:dyDescent="0.25">
      <c r="BP2558" s="2"/>
      <c r="BQ2558" s="2"/>
      <c r="BR2558" s="2"/>
      <c r="BS2558" s="2"/>
      <c r="BT2558" s="2"/>
      <c r="BU2558" s="2"/>
    </row>
    <row r="2559" spans="68:73" x14ac:dyDescent="0.25">
      <c r="BP2559" s="2"/>
      <c r="BQ2559" s="2"/>
      <c r="BR2559" s="2"/>
      <c r="BS2559" s="2"/>
      <c r="BT2559" s="2"/>
      <c r="BU2559" s="2"/>
    </row>
    <row r="2560" spans="68:73" x14ac:dyDescent="0.25">
      <c r="BP2560" s="2"/>
      <c r="BQ2560" s="2"/>
      <c r="BR2560" s="2"/>
      <c r="BS2560" s="2"/>
      <c r="BT2560" s="2"/>
      <c r="BU2560" s="2"/>
    </row>
    <row r="2561" spans="68:73" x14ac:dyDescent="0.25">
      <c r="BP2561" s="2"/>
      <c r="BQ2561" s="2"/>
      <c r="BR2561" s="2"/>
      <c r="BS2561" s="2"/>
      <c r="BT2561" s="2"/>
      <c r="BU2561" s="2"/>
    </row>
    <row r="2562" spans="68:73" x14ac:dyDescent="0.25">
      <c r="BP2562" s="2"/>
      <c r="BQ2562" s="2"/>
      <c r="BR2562" s="2"/>
      <c r="BS2562" s="2"/>
      <c r="BT2562" s="2"/>
      <c r="BU2562" s="2"/>
    </row>
    <row r="2563" spans="68:73" x14ac:dyDescent="0.25">
      <c r="BP2563" s="2"/>
      <c r="BQ2563" s="2"/>
      <c r="BR2563" s="2"/>
      <c r="BS2563" s="2"/>
      <c r="BT2563" s="2"/>
      <c r="BU2563" s="2"/>
    </row>
    <row r="2564" spans="68:73" x14ac:dyDescent="0.25">
      <c r="BP2564" s="2"/>
      <c r="BQ2564" s="2"/>
      <c r="BR2564" s="2"/>
      <c r="BS2564" s="2"/>
      <c r="BT2564" s="2"/>
      <c r="BU2564" s="2"/>
    </row>
    <row r="2565" spans="68:73" x14ac:dyDescent="0.25">
      <c r="BP2565" s="2"/>
      <c r="BQ2565" s="2"/>
      <c r="BR2565" s="2"/>
      <c r="BS2565" s="2"/>
      <c r="BT2565" s="2"/>
      <c r="BU2565" s="2"/>
    </row>
    <row r="2566" spans="68:73" x14ac:dyDescent="0.25">
      <c r="BP2566" s="2"/>
      <c r="BQ2566" s="2"/>
      <c r="BR2566" s="2"/>
      <c r="BS2566" s="2"/>
      <c r="BT2566" s="2"/>
      <c r="BU2566" s="2"/>
    </row>
    <row r="2567" spans="68:73" x14ac:dyDescent="0.25">
      <c r="BP2567" s="2"/>
      <c r="BQ2567" s="2"/>
      <c r="BR2567" s="2"/>
      <c r="BS2567" s="2"/>
      <c r="BT2567" s="2"/>
      <c r="BU2567" s="2"/>
    </row>
    <row r="2568" spans="68:73" x14ac:dyDescent="0.25">
      <c r="BP2568" s="2"/>
      <c r="BQ2568" s="2"/>
      <c r="BR2568" s="2"/>
      <c r="BS2568" s="2"/>
      <c r="BT2568" s="2"/>
      <c r="BU2568" s="2"/>
    </row>
    <row r="2569" spans="68:73" x14ac:dyDescent="0.25">
      <c r="BP2569" s="2"/>
      <c r="BQ2569" s="2"/>
      <c r="BR2569" s="2"/>
      <c r="BS2569" s="2"/>
      <c r="BT2569" s="2"/>
      <c r="BU2569" s="2"/>
    </row>
    <row r="2570" spans="68:73" x14ac:dyDescent="0.25">
      <c r="BP2570" s="2"/>
      <c r="BQ2570" s="2"/>
      <c r="BR2570" s="2"/>
      <c r="BS2570" s="2"/>
      <c r="BT2570" s="2"/>
      <c r="BU2570" s="2"/>
    </row>
    <row r="2571" spans="68:73" x14ac:dyDescent="0.25">
      <c r="BP2571" s="2"/>
      <c r="BQ2571" s="2"/>
      <c r="BR2571" s="2"/>
      <c r="BS2571" s="2"/>
      <c r="BT2571" s="2"/>
      <c r="BU2571" s="2"/>
    </row>
    <row r="2572" spans="68:73" x14ac:dyDescent="0.25">
      <c r="BP2572" s="2"/>
      <c r="BQ2572" s="2"/>
      <c r="BR2572" s="2"/>
      <c r="BS2572" s="2"/>
      <c r="BT2572" s="2"/>
      <c r="BU2572" s="2"/>
    </row>
    <row r="2573" spans="68:73" x14ac:dyDescent="0.25">
      <c r="BP2573" s="2"/>
      <c r="BQ2573" s="2"/>
      <c r="BR2573" s="2"/>
      <c r="BS2573" s="2"/>
      <c r="BT2573" s="2"/>
      <c r="BU2573" s="2"/>
    </row>
    <row r="2574" spans="68:73" x14ac:dyDescent="0.25">
      <c r="BP2574" s="2"/>
      <c r="BQ2574" s="2"/>
      <c r="BR2574" s="2"/>
      <c r="BS2574" s="2"/>
      <c r="BT2574" s="2"/>
      <c r="BU2574" s="2"/>
    </row>
    <row r="2575" spans="68:73" x14ac:dyDescent="0.25">
      <c r="BP2575" s="2"/>
      <c r="BQ2575" s="2"/>
      <c r="BR2575" s="2"/>
      <c r="BS2575" s="2"/>
      <c r="BT2575" s="2"/>
      <c r="BU2575" s="2"/>
    </row>
    <row r="2576" spans="68:73" x14ac:dyDescent="0.25">
      <c r="BP2576" s="2"/>
      <c r="BQ2576" s="2"/>
      <c r="BR2576" s="2"/>
      <c r="BS2576" s="2"/>
      <c r="BT2576" s="2"/>
      <c r="BU2576" s="2"/>
    </row>
    <row r="2577" spans="68:73" x14ac:dyDescent="0.25">
      <c r="BP2577" s="2"/>
      <c r="BQ2577" s="2"/>
      <c r="BR2577" s="2"/>
      <c r="BS2577" s="2"/>
      <c r="BT2577" s="2"/>
      <c r="BU2577" s="2"/>
    </row>
    <row r="2578" spans="68:73" x14ac:dyDescent="0.25">
      <c r="BP2578" s="2"/>
      <c r="BQ2578" s="2"/>
      <c r="BR2578" s="2"/>
      <c r="BS2578" s="2"/>
      <c r="BT2578" s="2"/>
      <c r="BU2578" s="2"/>
    </row>
    <row r="2579" spans="68:73" x14ac:dyDescent="0.25">
      <c r="BP2579" s="2"/>
      <c r="BQ2579" s="2"/>
      <c r="BR2579" s="2"/>
      <c r="BS2579" s="2"/>
      <c r="BT2579" s="2"/>
      <c r="BU2579" s="2"/>
    </row>
    <row r="2580" spans="68:73" x14ac:dyDescent="0.25">
      <c r="BP2580" s="2"/>
      <c r="BQ2580" s="2"/>
      <c r="BR2580" s="2"/>
      <c r="BS2580" s="2"/>
      <c r="BT2580" s="2"/>
      <c r="BU2580" s="2"/>
    </row>
    <row r="2581" spans="68:73" x14ac:dyDescent="0.25">
      <c r="BP2581" s="2"/>
      <c r="BQ2581" s="2"/>
      <c r="BR2581" s="2"/>
      <c r="BS2581" s="2"/>
      <c r="BT2581" s="2"/>
      <c r="BU2581" s="2"/>
    </row>
    <row r="2582" spans="68:73" x14ac:dyDescent="0.25">
      <c r="BP2582" s="2"/>
      <c r="BQ2582" s="2"/>
      <c r="BR2582" s="2"/>
      <c r="BS2582" s="2"/>
      <c r="BT2582" s="2"/>
      <c r="BU2582" s="2"/>
    </row>
    <row r="2583" spans="68:73" x14ac:dyDescent="0.25">
      <c r="BP2583" s="2"/>
      <c r="BQ2583" s="2"/>
      <c r="BR2583" s="2"/>
      <c r="BS2583" s="2"/>
      <c r="BT2583" s="2"/>
      <c r="BU2583" s="2"/>
    </row>
    <row r="2584" spans="68:73" x14ac:dyDescent="0.25">
      <c r="BP2584" s="2"/>
      <c r="BQ2584" s="2"/>
      <c r="BR2584" s="2"/>
      <c r="BS2584" s="2"/>
      <c r="BT2584" s="2"/>
      <c r="BU2584" s="2"/>
    </row>
    <row r="2585" spans="68:73" x14ac:dyDescent="0.25">
      <c r="BP2585" s="2"/>
      <c r="BQ2585" s="2"/>
      <c r="BR2585" s="2"/>
      <c r="BS2585" s="2"/>
      <c r="BT2585" s="2"/>
      <c r="BU2585" s="2"/>
    </row>
    <row r="2586" spans="68:73" x14ac:dyDescent="0.25">
      <c r="BP2586" s="2"/>
      <c r="BQ2586" s="2"/>
      <c r="BR2586" s="2"/>
      <c r="BS2586" s="2"/>
      <c r="BT2586" s="2"/>
      <c r="BU2586" s="2"/>
    </row>
    <row r="2587" spans="68:73" x14ac:dyDescent="0.25">
      <c r="BP2587" s="2"/>
      <c r="BQ2587" s="2"/>
      <c r="BR2587" s="2"/>
      <c r="BS2587" s="2"/>
      <c r="BT2587" s="2"/>
      <c r="BU2587" s="2"/>
    </row>
    <row r="2588" spans="68:73" x14ac:dyDescent="0.25">
      <c r="BP2588" s="2"/>
      <c r="BQ2588" s="2"/>
      <c r="BR2588" s="2"/>
      <c r="BS2588" s="2"/>
      <c r="BT2588" s="2"/>
      <c r="BU2588" s="2"/>
    </row>
    <row r="2589" spans="68:73" x14ac:dyDescent="0.25">
      <c r="BP2589" s="2"/>
      <c r="BQ2589" s="2"/>
      <c r="BR2589" s="2"/>
      <c r="BS2589" s="2"/>
      <c r="BT2589" s="2"/>
      <c r="BU2589" s="2"/>
    </row>
    <row r="2590" spans="68:73" x14ac:dyDescent="0.25">
      <c r="BP2590" s="2"/>
      <c r="BQ2590" s="2"/>
      <c r="BR2590" s="2"/>
      <c r="BS2590" s="2"/>
      <c r="BT2590" s="2"/>
      <c r="BU2590" s="2"/>
    </row>
    <row r="2591" spans="68:73" x14ac:dyDescent="0.25">
      <c r="BP2591" s="2"/>
      <c r="BQ2591" s="2"/>
      <c r="BR2591" s="2"/>
      <c r="BS2591" s="2"/>
      <c r="BT2591" s="2"/>
      <c r="BU2591" s="2"/>
    </row>
    <row r="2592" spans="68:73" x14ac:dyDescent="0.25">
      <c r="BP2592" s="2"/>
      <c r="BQ2592" s="2"/>
      <c r="BR2592" s="2"/>
      <c r="BS2592" s="2"/>
      <c r="BT2592" s="2"/>
      <c r="BU2592" s="2"/>
    </row>
    <row r="2593" spans="68:73" x14ac:dyDescent="0.25">
      <c r="BP2593" s="2"/>
      <c r="BQ2593" s="2"/>
      <c r="BR2593" s="2"/>
      <c r="BS2593" s="2"/>
      <c r="BT2593" s="2"/>
      <c r="BU2593" s="2"/>
    </row>
    <row r="2594" spans="68:73" x14ac:dyDescent="0.25">
      <c r="BP2594" s="2"/>
      <c r="BQ2594" s="2"/>
      <c r="BR2594" s="2"/>
      <c r="BS2594" s="2"/>
      <c r="BT2594" s="2"/>
      <c r="BU2594" s="2"/>
    </row>
    <row r="2595" spans="68:73" x14ac:dyDescent="0.25">
      <c r="BP2595" s="2"/>
      <c r="BQ2595" s="2"/>
      <c r="BR2595" s="2"/>
      <c r="BS2595" s="2"/>
      <c r="BT2595" s="2"/>
      <c r="BU2595" s="2"/>
    </row>
    <row r="2596" spans="68:73" x14ac:dyDescent="0.25">
      <c r="BP2596" s="2"/>
      <c r="BQ2596" s="2"/>
      <c r="BR2596" s="2"/>
      <c r="BS2596" s="2"/>
      <c r="BT2596" s="2"/>
      <c r="BU2596" s="2"/>
    </row>
    <row r="2597" spans="68:73" x14ac:dyDescent="0.25">
      <c r="BP2597" s="2"/>
      <c r="BQ2597" s="2"/>
      <c r="BR2597" s="2"/>
      <c r="BS2597" s="2"/>
      <c r="BT2597" s="2"/>
      <c r="BU2597" s="2"/>
    </row>
    <row r="2598" spans="68:73" x14ac:dyDescent="0.25">
      <c r="BP2598" s="2"/>
      <c r="BQ2598" s="2"/>
      <c r="BR2598" s="2"/>
      <c r="BS2598" s="2"/>
      <c r="BT2598" s="2"/>
      <c r="BU2598" s="2"/>
    </row>
    <row r="2599" spans="68:73" x14ac:dyDescent="0.25">
      <c r="BP2599" s="2"/>
      <c r="BQ2599" s="2"/>
      <c r="BR2599" s="2"/>
      <c r="BS2599" s="2"/>
      <c r="BT2599" s="2"/>
      <c r="BU2599" s="2"/>
    </row>
    <row r="2600" spans="68:73" x14ac:dyDescent="0.25">
      <c r="BP2600" s="2"/>
      <c r="BQ2600" s="2"/>
      <c r="BR2600" s="2"/>
      <c r="BS2600" s="2"/>
      <c r="BT2600" s="2"/>
      <c r="BU2600" s="2"/>
    </row>
    <row r="2601" spans="68:73" x14ac:dyDescent="0.25">
      <c r="BP2601" s="2"/>
      <c r="BQ2601" s="2"/>
      <c r="BR2601" s="2"/>
      <c r="BS2601" s="2"/>
      <c r="BT2601" s="2"/>
      <c r="BU2601" s="2"/>
    </row>
    <row r="2602" spans="68:73" x14ac:dyDescent="0.25">
      <c r="BP2602" s="2"/>
      <c r="BQ2602" s="2"/>
      <c r="BR2602" s="2"/>
      <c r="BS2602" s="2"/>
      <c r="BT2602" s="2"/>
      <c r="BU2602" s="2"/>
    </row>
    <row r="2603" spans="68:73" x14ac:dyDescent="0.25">
      <c r="BP2603" s="2"/>
      <c r="BQ2603" s="2"/>
      <c r="BR2603" s="2"/>
      <c r="BS2603" s="2"/>
      <c r="BT2603" s="2"/>
      <c r="BU2603" s="2"/>
    </row>
    <row r="2604" spans="68:73" x14ac:dyDescent="0.25">
      <c r="BP2604" s="2"/>
      <c r="BQ2604" s="2"/>
      <c r="BR2604" s="2"/>
      <c r="BS2604" s="2"/>
      <c r="BT2604" s="2"/>
      <c r="BU2604" s="2"/>
    </row>
    <row r="2605" spans="68:73" x14ac:dyDescent="0.25">
      <c r="BP2605" s="2"/>
      <c r="BQ2605" s="2"/>
      <c r="BR2605" s="2"/>
      <c r="BS2605" s="2"/>
      <c r="BT2605" s="2"/>
      <c r="BU2605" s="2"/>
    </row>
    <row r="2606" spans="68:73" x14ac:dyDescent="0.25">
      <c r="BP2606" s="2"/>
      <c r="BQ2606" s="2"/>
      <c r="BR2606" s="2"/>
      <c r="BS2606" s="2"/>
      <c r="BT2606" s="2"/>
      <c r="BU2606" s="2"/>
    </row>
    <row r="2607" spans="68:73" x14ac:dyDescent="0.25">
      <c r="BP2607" s="2"/>
      <c r="BQ2607" s="2"/>
      <c r="BR2607" s="2"/>
      <c r="BS2607" s="2"/>
      <c r="BT2607" s="2"/>
      <c r="BU2607" s="2"/>
    </row>
    <row r="2608" spans="68:73" x14ac:dyDescent="0.25">
      <c r="BP2608" s="2"/>
      <c r="BQ2608" s="2"/>
      <c r="BR2608" s="2"/>
      <c r="BS2608" s="2"/>
      <c r="BT2608" s="2"/>
      <c r="BU2608" s="2"/>
    </row>
    <row r="2609" spans="68:73" x14ac:dyDescent="0.25">
      <c r="BP2609" s="2"/>
      <c r="BQ2609" s="2"/>
      <c r="BR2609" s="2"/>
      <c r="BS2609" s="2"/>
      <c r="BT2609" s="2"/>
      <c r="BU2609" s="2"/>
    </row>
    <row r="2610" spans="68:73" x14ac:dyDescent="0.25">
      <c r="BP2610" s="2"/>
      <c r="BQ2610" s="2"/>
      <c r="BR2610" s="2"/>
      <c r="BS2610" s="2"/>
      <c r="BT2610" s="2"/>
      <c r="BU2610" s="2"/>
    </row>
    <row r="2611" spans="68:73" x14ac:dyDescent="0.25">
      <c r="BP2611" s="2"/>
      <c r="BQ2611" s="2"/>
      <c r="BR2611" s="2"/>
      <c r="BS2611" s="2"/>
      <c r="BT2611" s="2"/>
      <c r="BU2611" s="2"/>
    </row>
    <row r="2612" spans="68:73" x14ac:dyDescent="0.25">
      <c r="BP2612" s="2"/>
      <c r="BQ2612" s="2"/>
      <c r="BR2612" s="2"/>
      <c r="BS2612" s="2"/>
      <c r="BT2612" s="2"/>
      <c r="BU2612" s="2"/>
    </row>
    <row r="2613" spans="68:73" x14ac:dyDescent="0.25">
      <c r="BP2613" s="2"/>
      <c r="BQ2613" s="2"/>
      <c r="BR2613" s="2"/>
      <c r="BS2613" s="2"/>
      <c r="BT2613" s="2"/>
      <c r="BU2613" s="2"/>
    </row>
    <row r="2614" spans="68:73" x14ac:dyDescent="0.25">
      <c r="BP2614" s="2"/>
      <c r="BQ2614" s="2"/>
      <c r="BR2614" s="2"/>
      <c r="BS2614" s="2"/>
      <c r="BT2614" s="2"/>
      <c r="BU2614" s="2"/>
    </row>
    <row r="2615" spans="68:73" x14ac:dyDescent="0.25">
      <c r="BP2615" s="2"/>
      <c r="BQ2615" s="2"/>
      <c r="BR2615" s="2"/>
      <c r="BS2615" s="2"/>
      <c r="BT2615" s="2"/>
      <c r="BU2615" s="2"/>
    </row>
    <row r="2616" spans="68:73" x14ac:dyDescent="0.25">
      <c r="BP2616" s="2"/>
      <c r="BQ2616" s="2"/>
      <c r="BR2616" s="2"/>
      <c r="BS2616" s="2"/>
      <c r="BT2616" s="2"/>
      <c r="BU2616" s="2"/>
    </row>
    <row r="2617" spans="68:73" x14ac:dyDescent="0.25">
      <c r="BP2617" s="2"/>
      <c r="BQ2617" s="2"/>
      <c r="BR2617" s="2"/>
      <c r="BS2617" s="2"/>
      <c r="BT2617" s="2"/>
      <c r="BU2617" s="2"/>
    </row>
    <row r="2618" spans="68:73" x14ac:dyDescent="0.25">
      <c r="BP2618" s="2"/>
      <c r="BQ2618" s="2"/>
      <c r="BR2618" s="2"/>
      <c r="BS2618" s="2"/>
      <c r="BT2618" s="2"/>
      <c r="BU2618" s="2"/>
    </row>
    <row r="2619" spans="68:73" x14ac:dyDescent="0.25">
      <c r="BP2619" s="2"/>
      <c r="BQ2619" s="2"/>
      <c r="BR2619" s="2"/>
      <c r="BS2619" s="2"/>
      <c r="BT2619" s="2"/>
      <c r="BU2619" s="2"/>
    </row>
    <row r="2620" spans="68:73" x14ac:dyDescent="0.25">
      <c r="BP2620" s="2"/>
      <c r="BQ2620" s="2"/>
      <c r="BR2620" s="2"/>
      <c r="BS2620" s="2"/>
      <c r="BT2620" s="2"/>
      <c r="BU2620" s="2"/>
    </row>
    <row r="2621" spans="68:73" x14ac:dyDescent="0.25">
      <c r="BP2621" s="2"/>
      <c r="BQ2621" s="2"/>
      <c r="BR2621" s="2"/>
      <c r="BS2621" s="2"/>
      <c r="BT2621" s="2"/>
      <c r="BU2621" s="2"/>
    </row>
    <row r="2622" spans="68:73" x14ac:dyDescent="0.25">
      <c r="BP2622" s="2"/>
      <c r="BQ2622" s="2"/>
      <c r="BR2622" s="2"/>
      <c r="BS2622" s="2"/>
      <c r="BT2622" s="2"/>
      <c r="BU2622" s="2"/>
    </row>
    <row r="2623" spans="68:73" x14ac:dyDescent="0.25">
      <c r="BP2623" s="2"/>
      <c r="BQ2623" s="2"/>
      <c r="BR2623" s="2"/>
      <c r="BS2623" s="2"/>
      <c r="BT2623" s="2"/>
      <c r="BU2623" s="2"/>
    </row>
    <row r="2624" spans="68:73" x14ac:dyDescent="0.25">
      <c r="BP2624" s="2"/>
      <c r="BQ2624" s="2"/>
      <c r="BR2624" s="2"/>
      <c r="BS2624" s="2"/>
      <c r="BT2624" s="2"/>
      <c r="BU2624" s="2"/>
    </row>
    <row r="2625" spans="68:73" x14ac:dyDescent="0.25">
      <c r="BP2625" s="2"/>
      <c r="BQ2625" s="2"/>
      <c r="BR2625" s="2"/>
      <c r="BS2625" s="2"/>
      <c r="BT2625" s="2"/>
      <c r="BU2625" s="2"/>
    </row>
    <row r="2626" spans="68:73" x14ac:dyDescent="0.25">
      <c r="BP2626" s="2"/>
      <c r="BQ2626" s="2"/>
      <c r="BR2626" s="2"/>
      <c r="BS2626" s="2"/>
      <c r="BT2626" s="2"/>
      <c r="BU2626" s="2"/>
    </row>
    <row r="2627" spans="68:73" x14ac:dyDescent="0.25">
      <c r="BP2627" s="2"/>
      <c r="BQ2627" s="2"/>
      <c r="BR2627" s="2"/>
      <c r="BS2627" s="2"/>
      <c r="BT2627" s="2"/>
      <c r="BU2627" s="2"/>
    </row>
    <row r="2628" spans="68:73" x14ac:dyDescent="0.25">
      <c r="BP2628" s="2"/>
      <c r="BQ2628" s="2"/>
      <c r="BR2628" s="2"/>
      <c r="BS2628" s="2"/>
      <c r="BT2628" s="2"/>
      <c r="BU2628" s="2"/>
    </row>
    <row r="2629" spans="68:73" x14ac:dyDescent="0.25">
      <c r="BP2629" s="2"/>
      <c r="BQ2629" s="2"/>
      <c r="BR2629" s="2"/>
      <c r="BS2629" s="2"/>
      <c r="BT2629" s="2"/>
      <c r="BU2629" s="2"/>
    </row>
    <row r="2630" spans="68:73" x14ac:dyDescent="0.25">
      <c r="BP2630" s="2"/>
      <c r="BQ2630" s="2"/>
      <c r="BR2630" s="2"/>
      <c r="BS2630" s="2"/>
      <c r="BT2630" s="2"/>
      <c r="BU2630" s="2"/>
    </row>
    <row r="2631" spans="68:73" x14ac:dyDescent="0.25">
      <c r="BP2631" s="2"/>
      <c r="BQ2631" s="2"/>
      <c r="BR2631" s="2"/>
      <c r="BS2631" s="2"/>
      <c r="BT2631" s="2"/>
      <c r="BU2631" s="2"/>
    </row>
    <row r="2632" spans="68:73" x14ac:dyDescent="0.25">
      <c r="BP2632" s="2"/>
      <c r="BQ2632" s="2"/>
      <c r="BR2632" s="2"/>
      <c r="BS2632" s="2"/>
      <c r="BT2632" s="2"/>
      <c r="BU2632" s="2"/>
    </row>
    <row r="2633" spans="68:73" x14ac:dyDescent="0.25">
      <c r="BP2633" s="2"/>
      <c r="BQ2633" s="2"/>
      <c r="BR2633" s="2"/>
      <c r="BS2633" s="2"/>
      <c r="BT2633" s="2"/>
      <c r="BU2633" s="2"/>
    </row>
    <row r="2634" spans="68:73" x14ac:dyDescent="0.25">
      <c r="BP2634" s="2"/>
      <c r="BQ2634" s="2"/>
      <c r="BR2634" s="2"/>
      <c r="BS2634" s="2"/>
      <c r="BT2634" s="2"/>
      <c r="BU2634" s="2"/>
    </row>
    <row r="2635" spans="68:73" x14ac:dyDescent="0.25">
      <c r="BP2635" s="2"/>
      <c r="BQ2635" s="2"/>
      <c r="BR2635" s="2"/>
      <c r="BS2635" s="2"/>
      <c r="BT2635" s="2"/>
      <c r="BU2635" s="2"/>
    </row>
    <row r="2636" spans="68:73" x14ac:dyDescent="0.25">
      <c r="BP2636" s="2"/>
      <c r="BQ2636" s="2"/>
      <c r="BR2636" s="2"/>
      <c r="BS2636" s="2"/>
      <c r="BT2636" s="2"/>
      <c r="BU2636" s="2"/>
    </row>
    <row r="2637" spans="68:73" x14ac:dyDescent="0.25">
      <c r="BP2637" s="2"/>
      <c r="BQ2637" s="2"/>
      <c r="BR2637" s="2"/>
      <c r="BS2637" s="2"/>
      <c r="BT2637" s="2"/>
      <c r="BU2637" s="2"/>
    </row>
    <row r="2638" spans="68:73" x14ac:dyDescent="0.25">
      <c r="BP2638" s="2"/>
      <c r="BQ2638" s="2"/>
      <c r="BR2638" s="2"/>
      <c r="BS2638" s="2"/>
      <c r="BT2638" s="2"/>
      <c r="BU2638" s="2"/>
    </row>
    <row r="2639" spans="68:73" x14ac:dyDescent="0.25">
      <c r="BP2639" s="2"/>
      <c r="BQ2639" s="2"/>
      <c r="BR2639" s="2"/>
      <c r="BS2639" s="2"/>
      <c r="BT2639" s="2"/>
      <c r="BU2639" s="2"/>
    </row>
    <row r="2640" spans="68:73" x14ac:dyDescent="0.25">
      <c r="BP2640" s="2"/>
      <c r="BQ2640" s="2"/>
      <c r="BR2640" s="2"/>
      <c r="BS2640" s="2"/>
      <c r="BT2640" s="2"/>
      <c r="BU2640" s="2"/>
    </row>
    <row r="2641" spans="68:73" x14ac:dyDescent="0.25">
      <c r="BP2641" s="2"/>
      <c r="BQ2641" s="2"/>
      <c r="BR2641" s="2"/>
      <c r="BS2641" s="2"/>
      <c r="BT2641" s="2"/>
      <c r="BU2641" s="2"/>
    </row>
    <row r="2642" spans="68:73" x14ac:dyDescent="0.25">
      <c r="BP2642" s="2"/>
      <c r="BQ2642" s="2"/>
      <c r="BR2642" s="2"/>
      <c r="BS2642" s="2"/>
      <c r="BT2642" s="2"/>
      <c r="BU2642" s="2"/>
    </row>
    <row r="2643" spans="68:73" x14ac:dyDescent="0.25">
      <c r="BP2643" s="2"/>
      <c r="BQ2643" s="2"/>
      <c r="BR2643" s="2"/>
      <c r="BS2643" s="2"/>
      <c r="BT2643" s="2"/>
      <c r="BU2643" s="2"/>
    </row>
    <row r="2644" spans="68:73" x14ac:dyDescent="0.25">
      <c r="BP2644" s="2"/>
      <c r="BQ2644" s="2"/>
      <c r="BR2644" s="2"/>
      <c r="BS2644" s="2"/>
      <c r="BT2644" s="2"/>
      <c r="BU2644" s="2"/>
    </row>
    <row r="2645" spans="68:73" x14ac:dyDescent="0.25">
      <c r="BP2645" s="2"/>
      <c r="BQ2645" s="2"/>
      <c r="BR2645" s="2"/>
      <c r="BS2645" s="2"/>
      <c r="BT2645" s="2"/>
      <c r="BU2645" s="2"/>
    </row>
    <row r="2646" spans="68:73" x14ac:dyDescent="0.25">
      <c r="BP2646" s="2"/>
      <c r="BQ2646" s="2"/>
      <c r="BR2646" s="2"/>
      <c r="BS2646" s="2"/>
      <c r="BT2646" s="2"/>
      <c r="BU2646" s="2"/>
    </row>
    <row r="2647" spans="68:73" x14ac:dyDescent="0.25">
      <c r="BP2647" s="2"/>
      <c r="BQ2647" s="2"/>
      <c r="BR2647" s="2"/>
      <c r="BS2647" s="2"/>
      <c r="BT2647" s="2"/>
      <c r="BU2647" s="2"/>
    </row>
    <row r="2648" spans="68:73" x14ac:dyDescent="0.25">
      <c r="BP2648" s="2"/>
      <c r="BQ2648" s="2"/>
      <c r="BR2648" s="2"/>
      <c r="BS2648" s="2"/>
      <c r="BT2648" s="2"/>
      <c r="BU2648" s="2"/>
    </row>
    <row r="2649" spans="68:73" x14ac:dyDescent="0.25">
      <c r="BP2649" s="2"/>
      <c r="BQ2649" s="2"/>
      <c r="BR2649" s="2"/>
      <c r="BS2649" s="2"/>
      <c r="BT2649" s="2"/>
      <c r="BU2649" s="2"/>
    </row>
    <row r="2650" spans="68:73" x14ac:dyDescent="0.25">
      <c r="BP2650" s="2"/>
      <c r="BQ2650" s="2"/>
      <c r="BR2650" s="2"/>
      <c r="BS2650" s="2"/>
      <c r="BT2650" s="2"/>
      <c r="BU2650" s="2"/>
    </row>
    <row r="2651" spans="68:73" x14ac:dyDescent="0.25">
      <c r="BP2651" s="2"/>
      <c r="BQ2651" s="2"/>
      <c r="BR2651" s="2"/>
      <c r="BS2651" s="2"/>
      <c r="BT2651" s="2"/>
      <c r="BU2651" s="2"/>
    </row>
    <row r="2652" spans="68:73" x14ac:dyDescent="0.25">
      <c r="BP2652" s="2"/>
      <c r="BQ2652" s="2"/>
      <c r="BR2652" s="2"/>
      <c r="BS2652" s="2"/>
      <c r="BT2652" s="2"/>
      <c r="BU2652" s="2"/>
    </row>
    <row r="2653" spans="68:73" x14ac:dyDescent="0.25">
      <c r="BP2653" s="2"/>
      <c r="BQ2653" s="2"/>
      <c r="BR2653" s="2"/>
      <c r="BS2653" s="2"/>
      <c r="BT2653" s="2"/>
      <c r="BU2653" s="2"/>
    </row>
    <row r="2654" spans="68:73" x14ac:dyDescent="0.25">
      <c r="BP2654" s="2"/>
      <c r="BQ2654" s="2"/>
      <c r="BR2654" s="2"/>
      <c r="BS2654" s="2"/>
      <c r="BT2654" s="2"/>
      <c r="BU2654" s="2"/>
    </row>
    <row r="2655" spans="68:73" x14ac:dyDescent="0.25">
      <c r="BP2655" s="2"/>
      <c r="BQ2655" s="2"/>
      <c r="BR2655" s="2"/>
      <c r="BS2655" s="2"/>
      <c r="BT2655" s="2"/>
      <c r="BU2655" s="2"/>
    </row>
    <row r="2656" spans="68:73" x14ac:dyDescent="0.25">
      <c r="BP2656" s="2"/>
      <c r="BQ2656" s="2"/>
      <c r="BR2656" s="2"/>
      <c r="BS2656" s="2"/>
      <c r="BT2656" s="2"/>
      <c r="BU2656" s="2"/>
    </row>
    <row r="2657" spans="68:73" x14ac:dyDescent="0.25">
      <c r="BP2657" s="2"/>
      <c r="BQ2657" s="2"/>
      <c r="BR2657" s="2"/>
      <c r="BS2657" s="2"/>
      <c r="BT2657" s="2"/>
      <c r="BU2657" s="2"/>
    </row>
    <row r="2658" spans="68:73" x14ac:dyDescent="0.25">
      <c r="BP2658" s="2"/>
      <c r="BQ2658" s="2"/>
      <c r="BR2658" s="2"/>
      <c r="BS2658" s="2"/>
      <c r="BT2658" s="2"/>
      <c r="BU2658" s="2"/>
    </row>
    <row r="2659" spans="68:73" x14ac:dyDescent="0.25">
      <c r="BP2659" s="2"/>
      <c r="BQ2659" s="2"/>
      <c r="BR2659" s="2"/>
      <c r="BS2659" s="2"/>
      <c r="BT2659" s="2"/>
      <c r="BU2659" s="2"/>
    </row>
    <row r="2660" spans="68:73" x14ac:dyDescent="0.25">
      <c r="BP2660" s="2"/>
      <c r="BQ2660" s="2"/>
      <c r="BR2660" s="2"/>
      <c r="BS2660" s="2"/>
      <c r="BT2660" s="2"/>
      <c r="BU2660" s="2"/>
    </row>
    <row r="2661" spans="68:73" x14ac:dyDescent="0.25">
      <c r="BP2661" s="2"/>
      <c r="BQ2661" s="2"/>
      <c r="BR2661" s="2"/>
      <c r="BS2661" s="2"/>
      <c r="BT2661" s="2"/>
      <c r="BU2661" s="2"/>
    </row>
    <row r="2662" spans="68:73" x14ac:dyDescent="0.25">
      <c r="BP2662" s="2"/>
      <c r="BQ2662" s="2"/>
      <c r="BR2662" s="2"/>
      <c r="BS2662" s="2"/>
      <c r="BT2662" s="2"/>
      <c r="BU2662" s="2"/>
    </row>
    <row r="2663" spans="68:73" x14ac:dyDescent="0.25">
      <c r="BP2663" s="2"/>
      <c r="BQ2663" s="2"/>
      <c r="BR2663" s="2"/>
      <c r="BS2663" s="2"/>
      <c r="BT2663" s="2"/>
      <c r="BU2663" s="2"/>
    </row>
    <row r="2664" spans="68:73" x14ac:dyDescent="0.25">
      <c r="BP2664" s="2"/>
      <c r="BQ2664" s="2"/>
      <c r="BR2664" s="2"/>
      <c r="BS2664" s="2"/>
      <c r="BT2664" s="2"/>
      <c r="BU2664" s="2"/>
    </row>
    <row r="2665" spans="68:73" x14ac:dyDescent="0.25">
      <c r="BP2665" s="2"/>
      <c r="BQ2665" s="2"/>
      <c r="BR2665" s="2"/>
      <c r="BS2665" s="2"/>
      <c r="BT2665" s="2"/>
      <c r="BU2665" s="2"/>
    </row>
    <row r="2666" spans="68:73" x14ac:dyDescent="0.25">
      <c r="BP2666" s="2"/>
      <c r="BQ2666" s="2"/>
      <c r="BR2666" s="2"/>
      <c r="BS2666" s="2"/>
      <c r="BT2666" s="2"/>
      <c r="BU2666" s="2"/>
    </row>
    <row r="2667" spans="68:73" x14ac:dyDescent="0.25">
      <c r="BP2667" s="2"/>
      <c r="BQ2667" s="2"/>
      <c r="BR2667" s="2"/>
      <c r="BS2667" s="2"/>
      <c r="BT2667" s="2"/>
      <c r="BU2667" s="2"/>
    </row>
    <row r="2668" spans="68:73" x14ac:dyDescent="0.25">
      <c r="BP2668" s="2"/>
      <c r="BQ2668" s="2"/>
      <c r="BR2668" s="2"/>
      <c r="BS2668" s="2"/>
      <c r="BT2668" s="2"/>
      <c r="BU2668" s="2"/>
    </row>
    <row r="2669" spans="68:73" x14ac:dyDescent="0.25">
      <c r="BP2669" s="2"/>
      <c r="BQ2669" s="2"/>
      <c r="BR2669" s="2"/>
      <c r="BS2669" s="2"/>
      <c r="BT2669" s="2"/>
      <c r="BU2669" s="2"/>
    </row>
    <row r="2670" spans="68:73" x14ac:dyDescent="0.25">
      <c r="BP2670" s="2"/>
      <c r="BQ2670" s="2"/>
      <c r="BR2670" s="2"/>
      <c r="BS2670" s="2"/>
      <c r="BT2670" s="2"/>
      <c r="BU2670" s="2"/>
    </row>
    <row r="2671" spans="68:73" x14ac:dyDescent="0.25">
      <c r="BP2671" s="2"/>
      <c r="BQ2671" s="2"/>
      <c r="BR2671" s="2"/>
      <c r="BS2671" s="2"/>
      <c r="BT2671" s="2"/>
      <c r="BU2671" s="2"/>
    </row>
    <row r="2672" spans="68:73" x14ac:dyDescent="0.25">
      <c r="BP2672" s="2"/>
      <c r="BQ2672" s="2"/>
      <c r="BR2672" s="2"/>
      <c r="BS2672" s="2"/>
      <c r="BT2672" s="2"/>
      <c r="BU2672" s="2"/>
    </row>
    <row r="2673" spans="68:73" x14ac:dyDescent="0.25">
      <c r="BP2673" s="2"/>
      <c r="BQ2673" s="2"/>
      <c r="BR2673" s="2"/>
      <c r="BS2673" s="2"/>
      <c r="BT2673" s="2"/>
      <c r="BU2673" s="2"/>
    </row>
    <row r="2674" spans="68:73" x14ac:dyDescent="0.25">
      <c r="BP2674" s="2"/>
      <c r="BQ2674" s="2"/>
      <c r="BR2674" s="2"/>
      <c r="BS2674" s="2"/>
      <c r="BT2674" s="2"/>
      <c r="BU2674" s="2"/>
    </row>
    <row r="2675" spans="68:73" x14ac:dyDescent="0.25">
      <c r="BP2675" s="2"/>
      <c r="BQ2675" s="2"/>
      <c r="BR2675" s="2"/>
      <c r="BS2675" s="2"/>
      <c r="BT2675" s="2"/>
      <c r="BU2675" s="2"/>
    </row>
    <row r="2676" spans="68:73" x14ac:dyDescent="0.25">
      <c r="BP2676" s="2"/>
      <c r="BQ2676" s="2"/>
      <c r="BR2676" s="2"/>
      <c r="BS2676" s="2"/>
      <c r="BT2676" s="2"/>
      <c r="BU2676" s="2"/>
    </row>
    <row r="2677" spans="68:73" x14ac:dyDescent="0.25">
      <c r="BP2677" s="2"/>
      <c r="BQ2677" s="2"/>
      <c r="BR2677" s="2"/>
      <c r="BS2677" s="2"/>
      <c r="BT2677" s="2"/>
      <c r="BU2677" s="2"/>
    </row>
    <row r="2678" spans="68:73" x14ac:dyDescent="0.25">
      <c r="BP2678" s="2"/>
      <c r="BQ2678" s="2"/>
      <c r="BR2678" s="2"/>
      <c r="BS2678" s="2"/>
      <c r="BT2678" s="2"/>
      <c r="BU2678" s="2"/>
    </row>
    <row r="2679" spans="68:73" x14ac:dyDescent="0.25">
      <c r="BP2679" s="2"/>
      <c r="BQ2679" s="2"/>
      <c r="BR2679" s="2"/>
      <c r="BS2679" s="2"/>
      <c r="BT2679" s="2"/>
      <c r="BU2679" s="2"/>
    </row>
    <row r="2680" spans="68:73" x14ac:dyDescent="0.25">
      <c r="BP2680" s="2"/>
      <c r="BQ2680" s="2"/>
      <c r="BR2680" s="2"/>
      <c r="BS2680" s="2"/>
      <c r="BT2680" s="2"/>
      <c r="BU2680" s="2"/>
    </row>
    <row r="2681" spans="68:73" x14ac:dyDescent="0.25">
      <c r="BP2681" s="2"/>
      <c r="BQ2681" s="2"/>
      <c r="BR2681" s="2"/>
      <c r="BS2681" s="2"/>
      <c r="BT2681" s="2"/>
      <c r="BU2681" s="2"/>
    </row>
    <row r="2682" spans="68:73" x14ac:dyDescent="0.25">
      <c r="BP2682" s="2"/>
      <c r="BQ2682" s="2"/>
      <c r="BR2682" s="2"/>
      <c r="BS2682" s="2"/>
      <c r="BT2682" s="2"/>
      <c r="BU2682" s="2"/>
    </row>
    <row r="2683" spans="68:73" x14ac:dyDescent="0.25">
      <c r="BP2683" s="2"/>
      <c r="BQ2683" s="2"/>
      <c r="BR2683" s="2"/>
      <c r="BS2683" s="2"/>
      <c r="BT2683" s="2"/>
      <c r="BU2683" s="2"/>
    </row>
    <row r="2684" spans="68:73" x14ac:dyDescent="0.25">
      <c r="BP2684" s="2"/>
      <c r="BQ2684" s="2"/>
      <c r="BR2684" s="2"/>
      <c r="BS2684" s="2"/>
      <c r="BT2684" s="2"/>
      <c r="BU2684" s="2"/>
    </row>
    <row r="2685" spans="68:73" x14ac:dyDescent="0.25">
      <c r="BP2685" s="2"/>
      <c r="BQ2685" s="2"/>
      <c r="BR2685" s="2"/>
      <c r="BS2685" s="2"/>
      <c r="BT2685" s="2"/>
      <c r="BU2685" s="2"/>
    </row>
    <row r="2686" spans="68:73" x14ac:dyDescent="0.25">
      <c r="BP2686" s="2"/>
      <c r="BQ2686" s="2"/>
      <c r="BR2686" s="2"/>
      <c r="BS2686" s="2"/>
      <c r="BT2686" s="2"/>
      <c r="BU2686" s="2"/>
    </row>
    <row r="2687" spans="68:73" x14ac:dyDescent="0.25">
      <c r="BP2687" s="2"/>
      <c r="BQ2687" s="2"/>
      <c r="BR2687" s="2"/>
      <c r="BS2687" s="2"/>
      <c r="BT2687" s="2"/>
      <c r="BU2687" s="2"/>
    </row>
    <row r="2688" spans="68:73" x14ac:dyDescent="0.25">
      <c r="BP2688" s="2"/>
      <c r="BQ2688" s="2"/>
      <c r="BR2688" s="2"/>
      <c r="BS2688" s="2"/>
      <c r="BT2688" s="2"/>
      <c r="BU2688" s="2"/>
    </row>
    <row r="2689" spans="68:73" x14ac:dyDescent="0.25">
      <c r="BP2689" s="2"/>
      <c r="BQ2689" s="2"/>
      <c r="BR2689" s="2"/>
      <c r="BS2689" s="2"/>
      <c r="BT2689" s="2"/>
      <c r="BU2689" s="2"/>
    </row>
    <row r="2690" spans="68:73" x14ac:dyDescent="0.25">
      <c r="BP2690" s="2"/>
      <c r="BQ2690" s="2"/>
      <c r="BR2690" s="2"/>
      <c r="BS2690" s="2"/>
      <c r="BT2690" s="2"/>
      <c r="BU2690" s="2"/>
    </row>
    <row r="2691" spans="68:73" x14ac:dyDescent="0.25">
      <c r="BP2691" s="2"/>
      <c r="BQ2691" s="2"/>
      <c r="BR2691" s="2"/>
      <c r="BS2691" s="2"/>
      <c r="BT2691" s="2"/>
      <c r="BU2691" s="2"/>
    </row>
    <row r="2692" spans="68:73" x14ac:dyDescent="0.25">
      <c r="BP2692" s="2"/>
      <c r="BQ2692" s="2"/>
      <c r="BR2692" s="2"/>
      <c r="BS2692" s="2"/>
      <c r="BT2692" s="2"/>
      <c r="BU2692" s="2"/>
    </row>
    <row r="2693" spans="68:73" x14ac:dyDescent="0.25">
      <c r="BP2693" s="2"/>
      <c r="BQ2693" s="2"/>
      <c r="BR2693" s="2"/>
      <c r="BS2693" s="2"/>
      <c r="BT2693" s="2"/>
      <c r="BU2693" s="2"/>
    </row>
    <row r="2694" spans="68:73" x14ac:dyDescent="0.25">
      <c r="BP2694" s="2"/>
      <c r="BQ2694" s="2"/>
      <c r="BR2694" s="2"/>
      <c r="BS2694" s="2"/>
      <c r="BT2694" s="2"/>
      <c r="BU2694" s="2"/>
    </row>
    <row r="2695" spans="68:73" x14ac:dyDescent="0.25">
      <c r="BP2695" s="2"/>
      <c r="BQ2695" s="2"/>
      <c r="BR2695" s="2"/>
      <c r="BS2695" s="2"/>
      <c r="BT2695" s="2"/>
      <c r="BU2695" s="2"/>
    </row>
    <row r="2696" spans="68:73" x14ac:dyDescent="0.25">
      <c r="BP2696" s="2"/>
      <c r="BQ2696" s="2"/>
      <c r="BR2696" s="2"/>
      <c r="BS2696" s="2"/>
      <c r="BT2696" s="2"/>
      <c r="BU2696" s="2"/>
    </row>
    <row r="2697" spans="68:73" x14ac:dyDescent="0.25">
      <c r="BP2697" s="2"/>
      <c r="BQ2697" s="2"/>
      <c r="BR2697" s="2"/>
      <c r="BS2697" s="2"/>
      <c r="BT2697" s="2"/>
      <c r="BU2697" s="2"/>
    </row>
    <row r="2698" spans="68:73" x14ac:dyDescent="0.25">
      <c r="BP2698" s="2"/>
      <c r="BQ2698" s="2"/>
      <c r="BR2698" s="2"/>
      <c r="BS2698" s="2"/>
      <c r="BT2698" s="2"/>
      <c r="BU2698" s="2"/>
    </row>
    <row r="2699" spans="68:73" x14ac:dyDescent="0.25">
      <c r="BP2699" s="2"/>
      <c r="BQ2699" s="2"/>
      <c r="BR2699" s="2"/>
      <c r="BS2699" s="2"/>
      <c r="BT2699" s="2"/>
      <c r="BU2699" s="2"/>
    </row>
    <row r="2700" spans="68:73" x14ac:dyDescent="0.25">
      <c r="BP2700" s="2"/>
      <c r="BQ2700" s="2"/>
      <c r="BR2700" s="2"/>
      <c r="BS2700" s="2"/>
      <c r="BT2700" s="2"/>
      <c r="BU2700" s="2"/>
    </row>
    <row r="2701" spans="68:73" x14ac:dyDescent="0.25">
      <c r="BP2701" s="2"/>
      <c r="BQ2701" s="2"/>
      <c r="BR2701" s="2"/>
      <c r="BS2701" s="2"/>
      <c r="BT2701" s="2"/>
      <c r="BU2701" s="2"/>
    </row>
    <row r="2702" spans="68:73" x14ac:dyDescent="0.25">
      <c r="BP2702" s="2"/>
      <c r="BQ2702" s="2"/>
      <c r="BR2702" s="2"/>
      <c r="BS2702" s="2"/>
      <c r="BT2702" s="2"/>
      <c r="BU2702" s="2"/>
    </row>
    <row r="2703" spans="68:73" x14ac:dyDescent="0.25">
      <c r="BP2703" s="2"/>
      <c r="BQ2703" s="2"/>
      <c r="BR2703" s="2"/>
      <c r="BS2703" s="2"/>
      <c r="BT2703" s="2"/>
      <c r="BU2703" s="2"/>
    </row>
    <row r="2704" spans="68:73" x14ac:dyDescent="0.25">
      <c r="BP2704" s="2"/>
      <c r="BQ2704" s="2"/>
      <c r="BR2704" s="2"/>
      <c r="BS2704" s="2"/>
      <c r="BT2704" s="2"/>
      <c r="BU2704" s="2"/>
    </row>
    <row r="2705" spans="68:73" x14ac:dyDescent="0.25">
      <c r="BP2705" s="2"/>
      <c r="BQ2705" s="2"/>
      <c r="BR2705" s="2"/>
      <c r="BS2705" s="2"/>
      <c r="BT2705" s="2"/>
      <c r="BU2705" s="2"/>
    </row>
    <row r="2706" spans="68:73" x14ac:dyDescent="0.25">
      <c r="BP2706" s="2"/>
      <c r="BQ2706" s="2"/>
      <c r="BR2706" s="2"/>
      <c r="BS2706" s="2"/>
      <c r="BT2706" s="2"/>
      <c r="BU2706" s="2"/>
    </row>
    <row r="2707" spans="68:73" x14ac:dyDescent="0.25">
      <c r="BP2707" s="2"/>
      <c r="BQ2707" s="2"/>
      <c r="BR2707" s="2"/>
      <c r="BS2707" s="2"/>
      <c r="BT2707" s="2"/>
      <c r="BU2707" s="2"/>
    </row>
    <row r="2708" spans="68:73" x14ac:dyDescent="0.25">
      <c r="BP2708" s="2"/>
      <c r="BQ2708" s="2"/>
      <c r="BR2708" s="2"/>
      <c r="BS2708" s="2"/>
      <c r="BT2708" s="2"/>
      <c r="BU2708" s="2"/>
    </row>
    <row r="2709" spans="68:73" x14ac:dyDescent="0.25">
      <c r="BP2709" s="2"/>
      <c r="BQ2709" s="2"/>
      <c r="BR2709" s="2"/>
      <c r="BS2709" s="2"/>
      <c r="BT2709" s="2"/>
      <c r="BU2709" s="2"/>
    </row>
    <row r="2710" spans="68:73" x14ac:dyDescent="0.25">
      <c r="BP2710" s="2"/>
      <c r="BQ2710" s="2"/>
      <c r="BR2710" s="2"/>
      <c r="BS2710" s="2"/>
      <c r="BT2710" s="2"/>
      <c r="BU2710" s="2"/>
    </row>
    <row r="2711" spans="68:73" x14ac:dyDescent="0.25">
      <c r="BP2711" s="2"/>
      <c r="BQ2711" s="2"/>
      <c r="BR2711" s="2"/>
      <c r="BS2711" s="2"/>
      <c r="BT2711" s="2"/>
      <c r="BU2711" s="2"/>
    </row>
    <row r="2712" spans="68:73" x14ac:dyDescent="0.25">
      <c r="BP2712" s="2"/>
      <c r="BQ2712" s="2"/>
      <c r="BR2712" s="2"/>
      <c r="BS2712" s="2"/>
      <c r="BT2712" s="2"/>
      <c r="BU2712" s="2"/>
    </row>
    <row r="2713" spans="68:73" x14ac:dyDescent="0.25">
      <c r="BP2713" s="2"/>
      <c r="BQ2713" s="2"/>
      <c r="BR2713" s="2"/>
      <c r="BS2713" s="2"/>
      <c r="BT2713" s="2"/>
      <c r="BU2713" s="2"/>
    </row>
    <row r="2714" spans="68:73" x14ac:dyDescent="0.25">
      <c r="BP2714" s="2"/>
      <c r="BQ2714" s="2"/>
      <c r="BR2714" s="2"/>
      <c r="BS2714" s="2"/>
      <c r="BT2714" s="2"/>
      <c r="BU2714" s="2"/>
    </row>
    <row r="2715" spans="68:73" x14ac:dyDescent="0.25">
      <c r="BP2715" s="2"/>
      <c r="BQ2715" s="2"/>
      <c r="BR2715" s="2"/>
      <c r="BS2715" s="2"/>
      <c r="BT2715" s="2"/>
      <c r="BU2715" s="2"/>
    </row>
    <row r="2716" spans="68:73" x14ac:dyDescent="0.25">
      <c r="BP2716" s="2"/>
      <c r="BQ2716" s="2"/>
      <c r="BR2716" s="2"/>
      <c r="BS2716" s="2"/>
      <c r="BT2716" s="2"/>
      <c r="BU2716" s="2"/>
    </row>
    <row r="2717" spans="68:73" x14ac:dyDescent="0.25">
      <c r="BP2717" s="2"/>
      <c r="BQ2717" s="2"/>
      <c r="BR2717" s="2"/>
      <c r="BS2717" s="2"/>
      <c r="BT2717" s="2"/>
      <c r="BU2717" s="2"/>
    </row>
    <row r="2718" spans="68:73" x14ac:dyDescent="0.25">
      <c r="BP2718" s="2"/>
      <c r="BQ2718" s="2"/>
      <c r="BR2718" s="2"/>
      <c r="BS2718" s="2"/>
      <c r="BT2718" s="2"/>
      <c r="BU2718" s="2"/>
    </row>
    <row r="2719" spans="68:73" x14ac:dyDescent="0.25">
      <c r="BP2719" s="2"/>
      <c r="BQ2719" s="2"/>
      <c r="BR2719" s="2"/>
      <c r="BS2719" s="2"/>
      <c r="BT2719" s="2"/>
      <c r="BU2719" s="2"/>
    </row>
    <row r="2720" spans="68:73" x14ac:dyDescent="0.25">
      <c r="BP2720" s="2"/>
      <c r="BQ2720" s="2"/>
      <c r="BR2720" s="2"/>
      <c r="BS2720" s="2"/>
      <c r="BT2720" s="2"/>
      <c r="BU2720" s="2"/>
    </row>
    <row r="2721" spans="68:73" x14ac:dyDescent="0.25">
      <c r="BP2721" s="2"/>
      <c r="BQ2721" s="2"/>
      <c r="BR2721" s="2"/>
      <c r="BS2721" s="2"/>
      <c r="BT2721" s="2"/>
      <c r="BU2721" s="2"/>
    </row>
    <row r="2722" spans="68:73" x14ac:dyDescent="0.25">
      <c r="BP2722" s="2"/>
      <c r="BQ2722" s="2"/>
      <c r="BR2722" s="2"/>
      <c r="BS2722" s="2"/>
      <c r="BT2722" s="2"/>
      <c r="BU2722" s="2"/>
    </row>
    <row r="2723" spans="68:73" x14ac:dyDescent="0.25">
      <c r="BP2723" s="2"/>
      <c r="BQ2723" s="2"/>
      <c r="BR2723" s="2"/>
      <c r="BS2723" s="2"/>
      <c r="BT2723" s="2"/>
      <c r="BU2723" s="2"/>
    </row>
    <row r="2724" spans="68:73" x14ac:dyDescent="0.25">
      <c r="BP2724" s="2"/>
      <c r="BQ2724" s="2"/>
      <c r="BR2724" s="2"/>
      <c r="BS2724" s="2"/>
      <c r="BT2724" s="2"/>
      <c r="BU2724" s="2"/>
    </row>
    <row r="2725" spans="68:73" x14ac:dyDescent="0.25">
      <c r="BP2725" s="2"/>
      <c r="BQ2725" s="2"/>
      <c r="BR2725" s="2"/>
      <c r="BS2725" s="2"/>
      <c r="BT2725" s="2"/>
      <c r="BU2725" s="2"/>
    </row>
    <row r="2726" spans="68:73" x14ac:dyDescent="0.25">
      <c r="BP2726" s="2"/>
      <c r="BQ2726" s="2"/>
      <c r="BR2726" s="2"/>
      <c r="BS2726" s="2"/>
      <c r="BT2726" s="2"/>
      <c r="BU2726" s="2"/>
    </row>
    <row r="2727" spans="68:73" x14ac:dyDescent="0.25">
      <c r="BP2727" s="2"/>
      <c r="BQ2727" s="2"/>
      <c r="BR2727" s="2"/>
      <c r="BS2727" s="2"/>
      <c r="BT2727" s="2"/>
      <c r="BU2727" s="2"/>
    </row>
    <row r="2728" spans="68:73" x14ac:dyDescent="0.25">
      <c r="BP2728" s="2"/>
      <c r="BQ2728" s="2"/>
      <c r="BR2728" s="2"/>
      <c r="BS2728" s="2"/>
      <c r="BT2728" s="2"/>
      <c r="BU2728" s="2"/>
    </row>
    <row r="2729" spans="68:73" x14ac:dyDescent="0.25">
      <c r="BP2729" s="2"/>
      <c r="BQ2729" s="2"/>
      <c r="BR2729" s="2"/>
      <c r="BS2729" s="2"/>
      <c r="BT2729" s="2"/>
      <c r="BU2729" s="2"/>
    </row>
    <row r="2730" spans="68:73" x14ac:dyDescent="0.25">
      <c r="BP2730" s="2"/>
      <c r="BQ2730" s="2"/>
      <c r="BR2730" s="2"/>
      <c r="BS2730" s="2"/>
      <c r="BT2730" s="2"/>
      <c r="BU2730" s="2"/>
    </row>
    <row r="2731" spans="68:73" x14ac:dyDescent="0.25">
      <c r="BP2731" s="2"/>
      <c r="BQ2731" s="2"/>
      <c r="BR2731" s="2"/>
      <c r="BS2731" s="2"/>
      <c r="BT2731" s="2"/>
      <c r="BU2731" s="2"/>
    </row>
    <row r="2732" spans="68:73" x14ac:dyDescent="0.25">
      <c r="BP2732" s="2"/>
      <c r="BQ2732" s="2"/>
      <c r="BR2732" s="2"/>
      <c r="BS2732" s="2"/>
      <c r="BT2732" s="2"/>
      <c r="BU2732" s="2"/>
    </row>
    <row r="2733" spans="68:73" x14ac:dyDescent="0.25">
      <c r="BP2733" s="2"/>
      <c r="BQ2733" s="2"/>
      <c r="BR2733" s="2"/>
      <c r="BS2733" s="2"/>
      <c r="BT2733" s="2"/>
      <c r="BU2733" s="2"/>
    </row>
    <row r="2734" spans="68:73" x14ac:dyDescent="0.25">
      <c r="BP2734" s="2"/>
      <c r="BQ2734" s="2"/>
      <c r="BR2734" s="2"/>
      <c r="BS2734" s="2"/>
      <c r="BT2734" s="2"/>
      <c r="BU2734" s="2"/>
    </row>
    <row r="2735" spans="68:73" x14ac:dyDescent="0.25">
      <c r="BP2735" s="2"/>
      <c r="BQ2735" s="2"/>
      <c r="BR2735" s="2"/>
      <c r="BS2735" s="2"/>
      <c r="BT2735" s="2"/>
      <c r="BU2735" s="2"/>
    </row>
    <row r="2736" spans="68:73" x14ac:dyDescent="0.25">
      <c r="BP2736" s="2"/>
      <c r="BQ2736" s="2"/>
      <c r="BR2736" s="2"/>
      <c r="BS2736" s="2"/>
      <c r="BT2736" s="2"/>
      <c r="BU2736" s="2"/>
    </row>
    <row r="2737" spans="68:73" x14ac:dyDescent="0.25">
      <c r="BP2737" s="2"/>
      <c r="BQ2737" s="2"/>
      <c r="BR2737" s="2"/>
      <c r="BS2737" s="2"/>
      <c r="BT2737" s="2"/>
      <c r="BU2737" s="2"/>
    </row>
    <row r="2738" spans="68:73" x14ac:dyDescent="0.25">
      <c r="BP2738" s="2"/>
      <c r="BQ2738" s="2"/>
      <c r="BR2738" s="2"/>
      <c r="BS2738" s="2"/>
      <c r="BT2738" s="2"/>
      <c r="BU2738" s="2"/>
    </row>
    <row r="2739" spans="68:73" x14ac:dyDescent="0.25">
      <c r="BP2739" s="2"/>
      <c r="BQ2739" s="2"/>
      <c r="BR2739" s="2"/>
      <c r="BS2739" s="2"/>
      <c r="BT2739" s="2"/>
      <c r="BU2739" s="2"/>
    </row>
    <row r="2740" spans="68:73" x14ac:dyDescent="0.25">
      <c r="BP2740" s="2"/>
      <c r="BQ2740" s="2"/>
      <c r="BR2740" s="2"/>
      <c r="BS2740" s="2"/>
      <c r="BT2740" s="2"/>
      <c r="BU2740" s="2"/>
    </row>
    <row r="2741" spans="68:73" x14ac:dyDescent="0.25">
      <c r="BP2741" s="2"/>
      <c r="BQ2741" s="2"/>
      <c r="BR2741" s="2"/>
      <c r="BS2741" s="2"/>
      <c r="BT2741" s="2"/>
      <c r="BU2741" s="2"/>
    </row>
    <row r="2742" spans="68:73" x14ac:dyDescent="0.25">
      <c r="BP2742" s="2"/>
      <c r="BQ2742" s="2"/>
      <c r="BR2742" s="2"/>
      <c r="BS2742" s="2"/>
      <c r="BT2742" s="2"/>
      <c r="BU2742" s="2"/>
    </row>
    <row r="2743" spans="68:73" x14ac:dyDescent="0.25">
      <c r="BP2743" s="2"/>
      <c r="BQ2743" s="2"/>
      <c r="BR2743" s="2"/>
      <c r="BS2743" s="2"/>
      <c r="BT2743" s="2"/>
      <c r="BU2743" s="2"/>
    </row>
    <row r="2744" spans="68:73" x14ac:dyDescent="0.25">
      <c r="BP2744" s="2"/>
      <c r="BQ2744" s="2"/>
      <c r="BR2744" s="2"/>
      <c r="BS2744" s="2"/>
      <c r="BT2744" s="2"/>
      <c r="BU2744" s="2"/>
    </row>
    <row r="2745" spans="68:73" x14ac:dyDescent="0.25">
      <c r="BP2745" s="2"/>
      <c r="BQ2745" s="2"/>
      <c r="BR2745" s="2"/>
      <c r="BS2745" s="2"/>
      <c r="BT2745" s="2"/>
      <c r="BU2745" s="2"/>
    </row>
    <row r="2746" spans="68:73" x14ac:dyDescent="0.25">
      <c r="BP2746" s="2"/>
      <c r="BQ2746" s="2"/>
      <c r="BR2746" s="2"/>
      <c r="BS2746" s="2"/>
      <c r="BT2746" s="2"/>
      <c r="BU2746" s="2"/>
    </row>
    <row r="2747" spans="68:73" x14ac:dyDescent="0.25">
      <c r="BP2747" s="2"/>
      <c r="BQ2747" s="2"/>
      <c r="BR2747" s="2"/>
      <c r="BS2747" s="2"/>
      <c r="BT2747" s="2"/>
      <c r="BU2747" s="2"/>
    </row>
    <row r="2748" spans="68:73" x14ac:dyDescent="0.25">
      <c r="BP2748" s="2"/>
      <c r="BQ2748" s="2"/>
      <c r="BR2748" s="2"/>
      <c r="BS2748" s="2"/>
      <c r="BT2748" s="2"/>
      <c r="BU2748" s="2"/>
    </row>
    <row r="2749" spans="68:73" x14ac:dyDescent="0.25">
      <c r="BP2749" s="2"/>
      <c r="BQ2749" s="2"/>
      <c r="BR2749" s="2"/>
      <c r="BS2749" s="2"/>
      <c r="BT2749" s="2"/>
      <c r="BU2749" s="2"/>
    </row>
    <row r="2750" spans="68:73" x14ac:dyDescent="0.25">
      <c r="BP2750" s="2"/>
      <c r="BQ2750" s="2"/>
      <c r="BR2750" s="2"/>
      <c r="BS2750" s="2"/>
      <c r="BT2750" s="2"/>
      <c r="BU2750" s="2"/>
    </row>
    <row r="2751" spans="68:73" x14ac:dyDescent="0.25">
      <c r="BP2751" s="2"/>
      <c r="BQ2751" s="2"/>
      <c r="BR2751" s="2"/>
      <c r="BS2751" s="2"/>
      <c r="BT2751" s="2"/>
      <c r="BU2751" s="2"/>
    </row>
    <row r="2752" spans="68:73" x14ac:dyDescent="0.25">
      <c r="BP2752" s="2"/>
      <c r="BQ2752" s="2"/>
      <c r="BR2752" s="2"/>
      <c r="BS2752" s="2"/>
      <c r="BT2752" s="2"/>
      <c r="BU2752" s="2"/>
    </row>
    <row r="2753" spans="68:73" x14ac:dyDescent="0.25">
      <c r="BP2753" s="2"/>
      <c r="BQ2753" s="2"/>
      <c r="BR2753" s="2"/>
      <c r="BS2753" s="2"/>
      <c r="BT2753" s="2"/>
      <c r="BU2753" s="2"/>
    </row>
    <row r="2754" spans="68:73" x14ac:dyDescent="0.25">
      <c r="BP2754" s="2"/>
      <c r="BQ2754" s="2"/>
      <c r="BR2754" s="2"/>
      <c r="BS2754" s="2"/>
      <c r="BT2754" s="2"/>
      <c r="BU2754" s="2"/>
    </row>
    <row r="2755" spans="68:73" x14ac:dyDescent="0.25">
      <c r="BP2755" s="2"/>
      <c r="BQ2755" s="2"/>
      <c r="BR2755" s="2"/>
      <c r="BS2755" s="2"/>
      <c r="BT2755" s="2"/>
      <c r="BU2755" s="2"/>
    </row>
    <row r="2756" spans="68:73" x14ac:dyDescent="0.25">
      <c r="BP2756" s="2"/>
      <c r="BQ2756" s="2"/>
      <c r="BR2756" s="2"/>
      <c r="BS2756" s="2"/>
      <c r="BT2756" s="2"/>
      <c r="BU2756" s="2"/>
    </row>
    <row r="2757" spans="68:73" x14ac:dyDescent="0.25">
      <c r="BP2757" s="2"/>
      <c r="BQ2757" s="2"/>
      <c r="BR2757" s="2"/>
      <c r="BS2757" s="2"/>
      <c r="BT2757" s="2"/>
      <c r="BU2757" s="2"/>
    </row>
    <row r="2758" spans="68:73" x14ac:dyDescent="0.25">
      <c r="BP2758" s="2"/>
      <c r="BQ2758" s="2"/>
      <c r="BR2758" s="2"/>
      <c r="BS2758" s="2"/>
      <c r="BT2758" s="2"/>
      <c r="BU2758" s="2"/>
    </row>
    <row r="2759" spans="68:73" x14ac:dyDescent="0.25">
      <c r="BP2759" s="2"/>
      <c r="BQ2759" s="2"/>
      <c r="BR2759" s="2"/>
      <c r="BS2759" s="2"/>
      <c r="BT2759" s="2"/>
      <c r="BU2759" s="2"/>
    </row>
    <row r="2760" spans="68:73" x14ac:dyDescent="0.25">
      <c r="BP2760" s="2"/>
      <c r="BQ2760" s="2"/>
      <c r="BR2760" s="2"/>
      <c r="BS2760" s="2"/>
      <c r="BT2760" s="2"/>
      <c r="BU2760" s="2"/>
    </row>
    <row r="2761" spans="68:73" x14ac:dyDescent="0.25">
      <c r="BP2761" s="2"/>
      <c r="BQ2761" s="2"/>
      <c r="BR2761" s="2"/>
      <c r="BS2761" s="2"/>
      <c r="BT2761" s="2"/>
      <c r="BU2761" s="2"/>
    </row>
    <row r="2762" spans="68:73" x14ac:dyDescent="0.25">
      <c r="BP2762" s="2"/>
      <c r="BQ2762" s="2"/>
      <c r="BR2762" s="2"/>
      <c r="BS2762" s="2"/>
      <c r="BT2762" s="2"/>
      <c r="BU2762" s="2"/>
    </row>
    <row r="2763" spans="68:73" x14ac:dyDescent="0.25">
      <c r="BP2763" s="2"/>
      <c r="BQ2763" s="2"/>
      <c r="BR2763" s="2"/>
      <c r="BS2763" s="2"/>
      <c r="BT2763" s="2"/>
      <c r="BU2763" s="2"/>
    </row>
    <row r="2764" spans="68:73" x14ac:dyDescent="0.25">
      <c r="BP2764" s="2"/>
      <c r="BQ2764" s="2"/>
      <c r="BR2764" s="2"/>
      <c r="BS2764" s="2"/>
      <c r="BT2764" s="2"/>
      <c r="BU2764" s="2"/>
    </row>
    <row r="2765" spans="68:73" x14ac:dyDescent="0.25">
      <c r="BP2765" s="2"/>
      <c r="BQ2765" s="2"/>
      <c r="BR2765" s="2"/>
      <c r="BS2765" s="2"/>
      <c r="BT2765" s="2"/>
      <c r="BU2765" s="2"/>
    </row>
    <row r="2766" spans="68:73" x14ac:dyDescent="0.25">
      <c r="BP2766" s="2"/>
      <c r="BQ2766" s="2"/>
      <c r="BR2766" s="2"/>
      <c r="BS2766" s="2"/>
      <c r="BT2766" s="2"/>
      <c r="BU2766" s="2"/>
    </row>
    <row r="2767" spans="68:73" x14ac:dyDescent="0.25">
      <c r="BP2767" s="2"/>
      <c r="BQ2767" s="2"/>
      <c r="BR2767" s="2"/>
      <c r="BS2767" s="2"/>
      <c r="BT2767" s="2"/>
      <c r="BU2767" s="2"/>
    </row>
    <row r="2768" spans="68:73" x14ac:dyDescent="0.25">
      <c r="BP2768" s="2"/>
      <c r="BQ2768" s="2"/>
      <c r="BR2768" s="2"/>
      <c r="BS2768" s="2"/>
      <c r="BT2768" s="2"/>
      <c r="BU2768" s="2"/>
    </row>
    <row r="2769" spans="68:73" x14ac:dyDescent="0.25">
      <c r="BP2769" s="2"/>
      <c r="BQ2769" s="2"/>
      <c r="BR2769" s="2"/>
      <c r="BS2769" s="2"/>
      <c r="BT2769" s="2"/>
      <c r="BU2769" s="2"/>
    </row>
    <row r="2770" spans="68:73" x14ac:dyDescent="0.25">
      <c r="BP2770" s="2"/>
      <c r="BQ2770" s="2"/>
      <c r="BR2770" s="2"/>
      <c r="BS2770" s="2"/>
      <c r="BT2770" s="2"/>
      <c r="BU2770" s="2"/>
    </row>
    <row r="2771" spans="68:73" x14ac:dyDescent="0.25">
      <c r="BP2771" s="2"/>
      <c r="BQ2771" s="2"/>
      <c r="BR2771" s="2"/>
      <c r="BS2771" s="2"/>
      <c r="BT2771" s="2"/>
      <c r="BU2771" s="2"/>
    </row>
    <row r="2772" spans="68:73" x14ac:dyDescent="0.25">
      <c r="BP2772" s="2"/>
      <c r="BQ2772" s="2"/>
      <c r="BR2772" s="2"/>
      <c r="BS2772" s="2"/>
      <c r="BT2772" s="2"/>
      <c r="BU2772" s="2"/>
    </row>
    <row r="2773" spans="68:73" x14ac:dyDescent="0.25">
      <c r="BP2773" s="2"/>
      <c r="BQ2773" s="2"/>
      <c r="BR2773" s="2"/>
      <c r="BS2773" s="2"/>
      <c r="BT2773" s="2"/>
      <c r="BU2773" s="2"/>
    </row>
    <row r="2774" spans="68:73" x14ac:dyDescent="0.25">
      <c r="BP2774" s="2"/>
      <c r="BQ2774" s="2"/>
      <c r="BR2774" s="2"/>
      <c r="BS2774" s="2"/>
      <c r="BT2774" s="2"/>
      <c r="BU2774" s="2"/>
    </row>
    <row r="2775" spans="68:73" x14ac:dyDescent="0.25">
      <c r="BP2775" s="2"/>
      <c r="BQ2775" s="2"/>
      <c r="BR2775" s="2"/>
      <c r="BS2775" s="2"/>
      <c r="BT2775" s="2"/>
      <c r="BU2775" s="2"/>
    </row>
    <row r="2776" spans="68:73" x14ac:dyDescent="0.25">
      <c r="BP2776" s="2"/>
      <c r="BQ2776" s="2"/>
      <c r="BR2776" s="2"/>
      <c r="BS2776" s="2"/>
      <c r="BT2776" s="2"/>
      <c r="BU2776" s="2"/>
    </row>
    <row r="2777" spans="68:73" x14ac:dyDescent="0.25">
      <c r="BP2777" s="2"/>
      <c r="BQ2777" s="2"/>
      <c r="BR2777" s="2"/>
      <c r="BS2777" s="2"/>
      <c r="BT2777" s="2"/>
      <c r="BU2777" s="2"/>
    </row>
    <row r="2778" spans="68:73" x14ac:dyDescent="0.25">
      <c r="BP2778" s="2"/>
      <c r="BQ2778" s="2"/>
      <c r="BR2778" s="2"/>
      <c r="BS2778" s="2"/>
      <c r="BT2778" s="2"/>
      <c r="BU2778" s="2"/>
    </row>
    <row r="2779" spans="68:73" x14ac:dyDescent="0.25">
      <c r="BP2779" s="2"/>
      <c r="BQ2779" s="2"/>
      <c r="BR2779" s="2"/>
      <c r="BS2779" s="2"/>
      <c r="BT2779" s="2"/>
      <c r="BU2779" s="2"/>
    </row>
    <row r="2780" spans="68:73" x14ac:dyDescent="0.25">
      <c r="BP2780" s="2"/>
      <c r="BQ2780" s="2"/>
      <c r="BR2780" s="2"/>
      <c r="BS2780" s="2"/>
      <c r="BT2780" s="2"/>
      <c r="BU2780" s="2"/>
    </row>
    <row r="2781" spans="68:73" x14ac:dyDescent="0.25">
      <c r="BP2781" s="2"/>
      <c r="BQ2781" s="2"/>
      <c r="BR2781" s="2"/>
      <c r="BS2781" s="2"/>
      <c r="BT2781" s="2"/>
      <c r="BU2781" s="2"/>
    </row>
    <row r="2782" spans="68:73" x14ac:dyDescent="0.25">
      <c r="BP2782" s="2"/>
      <c r="BQ2782" s="2"/>
      <c r="BR2782" s="2"/>
      <c r="BS2782" s="2"/>
      <c r="BT2782" s="2"/>
      <c r="BU2782" s="2"/>
    </row>
    <row r="2783" spans="68:73" x14ac:dyDescent="0.25">
      <c r="BP2783" s="2"/>
      <c r="BQ2783" s="2"/>
      <c r="BR2783" s="2"/>
      <c r="BS2783" s="2"/>
      <c r="BT2783" s="2"/>
      <c r="BU2783" s="2"/>
    </row>
    <row r="2784" spans="68:73" x14ac:dyDescent="0.25">
      <c r="BP2784" s="2"/>
      <c r="BQ2784" s="2"/>
      <c r="BR2784" s="2"/>
      <c r="BS2784" s="2"/>
      <c r="BT2784" s="2"/>
      <c r="BU2784" s="2"/>
    </row>
    <row r="2785" spans="68:73" x14ac:dyDescent="0.25">
      <c r="BP2785" s="2"/>
      <c r="BQ2785" s="2"/>
      <c r="BR2785" s="2"/>
      <c r="BS2785" s="2"/>
      <c r="BT2785" s="2"/>
      <c r="BU2785" s="2"/>
    </row>
    <row r="2786" spans="68:73" x14ac:dyDescent="0.25">
      <c r="BP2786" s="2"/>
      <c r="BQ2786" s="2"/>
      <c r="BR2786" s="2"/>
      <c r="BS2786" s="2"/>
      <c r="BT2786" s="2"/>
      <c r="BU2786" s="2"/>
    </row>
    <row r="2787" spans="68:73" x14ac:dyDescent="0.25">
      <c r="BP2787" s="2"/>
      <c r="BQ2787" s="2"/>
      <c r="BR2787" s="2"/>
      <c r="BS2787" s="2"/>
      <c r="BT2787" s="2"/>
      <c r="BU2787" s="2"/>
    </row>
    <row r="2788" spans="68:73" x14ac:dyDescent="0.25">
      <c r="BP2788" s="2"/>
      <c r="BQ2788" s="2"/>
      <c r="BR2788" s="2"/>
      <c r="BS2788" s="2"/>
      <c r="BT2788" s="2"/>
      <c r="BU2788" s="2"/>
    </row>
    <row r="2789" spans="68:73" x14ac:dyDescent="0.25">
      <c r="BP2789" s="2"/>
      <c r="BQ2789" s="2"/>
      <c r="BR2789" s="2"/>
      <c r="BS2789" s="2"/>
      <c r="BT2789" s="2"/>
      <c r="BU2789" s="2"/>
    </row>
    <row r="2790" spans="68:73" x14ac:dyDescent="0.25">
      <c r="BP2790" s="2"/>
      <c r="BQ2790" s="2"/>
      <c r="BR2790" s="2"/>
      <c r="BS2790" s="2"/>
      <c r="BT2790" s="2"/>
      <c r="BU2790" s="2"/>
    </row>
    <row r="2791" spans="68:73" x14ac:dyDescent="0.25">
      <c r="BP2791" s="2"/>
      <c r="BQ2791" s="2"/>
      <c r="BR2791" s="2"/>
      <c r="BS2791" s="2"/>
      <c r="BT2791" s="2"/>
      <c r="BU2791" s="2"/>
    </row>
    <row r="2792" spans="68:73" x14ac:dyDescent="0.25">
      <c r="BP2792" s="2"/>
      <c r="BQ2792" s="2"/>
      <c r="BR2792" s="2"/>
      <c r="BS2792" s="2"/>
      <c r="BT2792" s="2"/>
      <c r="BU2792" s="2"/>
    </row>
    <row r="2793" spans="68:73" x14ac:dyDescent="0.25">
      <c r="BP2793" s="2"/>
      <c r="BQ2793" s="2"/>
      <c r="BR2793" s="2"/>
      <c r="BS2793" s="2"/>
      <c r="BT2793" s="2"/>
      <c r="BU2793" s="2"/>
    </row>
    <row r="2794" spans="68:73" x14ac:dyDescent="0.25">
      <c r="BP2794" s="2"/>
      <c r="BQ2794" s="2"/>
      <c r="BR2794" s="2"/>
      <c r="BS2794" s="2"/>
      <c r="BT2794" s="2"/>
      <c r="BU2794" s="2"/>
    </row>
    <row r="2795" spans="68:73" x14ac:dyDescent="0.25">
      <c r="BP2795" s="2"/>
      <c r="BQ2795" s="2"/>
      <c r="BR2795" s="2"/>
      <c r="BS2795" s="2"/>
      <c r="BT2795" s="2"/>
      <c r="BU2795" s="2"/>
    </row>
    <row r="2796" spans="68:73" x14ac:dyDescent="0.25">
      <c r="BP2796" s="2"/>
      <c r="BQ2796" s="2"/>
      <c r="BR2796" s="2"/>
      <c r="BS2796" s="2"/>
      <c r="BT2796" s="2"/>
      <c r="BU2796" s="2"/>
    </row>
    <row r="2797" spans="68:73" x14ac:dyDescent="0.25">
      <c r="BP2797" s="2"/>
      <c r="BQ2797" s="2"/>
      <c r="BR2797" s="2"/>
      <c r="BS2797" s="2"/>
      <c r="BT2797" s="2"/>
      <c r="BU2797" s="2"/>
    </row>
    <row r="2798" spans="68:73" x14ac:dyDescent="0.25">
      <c r="BP2798" s="2"/>
      <c r="BQ2798" s="2"/>
      <c r="BR2798" s="2"/>
      <c r="BS2798" s="2"/>
      <c r="BT2798" s="2"/>
      <c r="BU2798" s="2"/>
    </row>
    <row r="2799" spans="68:73" x14ac:dyDescent="0.25">
      <c r="BP2799" s="2"/>
      <c r="BQ2799" s="2"/>
      <c r="BR2799" s="2"/>
      <c r="BS2799" s="2"/>
      <c r="BT2799" s="2"/>
      <c r="BU2799" s="2"/>
    </row>
    <row r="2800" spans="68:73" x14ac:dyDescent="0.25">
      <c r="BP2800" s="2"/>
      <c r="BQ2800" s="2"/>
      <c r="BR2800" s="2"/>
      <c r="BS2800" s="2"/>
      <c r="BT2800" s="2"/>
      <c r="BU2800" s="2"/>
    </row>
    <row r="2801" spans="68:73" x14ac:dyDescent="0.25">
      <c r="BP2801" s="2"/>
      <c r="BQ2801" s="2"/>
      <c r="BR2801" s="2"/>
      <c r="BS2801" s="2"/>
      <c r="BT2801" s="2"/>
      <c r="BU2801" s="2"/>
    </row>
    <row r="2802" spans="68:73" x14ac:dyDescent="0.25">
      <c r="BP2802" s="2"/>
      <c r="BQ2802" s="2"/>
      <c r="BR2802" s="2"/>
      <c r="BS2802" s="2"/>
      <c r="BT2802" s="2"/>
      <c r="BU2802" s="2"/>
    </row>
    <row r="2803" spans="68:73" x14ac:dyDescent="0.25">
      <c r="BP2803" s="2"/>
      <c r="BQ2803" s="2"/>
      <c r="BR2803" s="2"/>
      <c r="BS2803" s="2"/>
      <c r="BT2803" s="2"/>
      <c r="BU2803" s="2"/>
    </row>
    <row r="2804" spans="68:73" x14ac:dyDescent="0.25">
      <c r="BP2804" s="2"/>
      <c r="BQ2804" s="2"/>
      <c r="BR2804" s="2"/>
      <c r="BS2804" s="2"/>
      <c r="BT2804" s="2"/>
      <c r="BU2804" s="2"/>
    </row>
    <row r="2805" spans="68:73" x14ac:dyDescent="0.25">
      <c r="BP2805" s="2"/>
      <c r="BQ2805" s="2"/>
      <c r="BR2805" s="2"/>
      <c r="BS2805" s="2"/>
      <c r="BT2805" s="2"/>
      <c r="BU2805" s="2"/>
    </row>
    <row r="2806" spans="68:73" x14ac:dyDescent="0.25">
      <c r="BP2806" s="2"/>
      <c r="BQ2806" s="2"/>
      <c r="BR2806" s="2"/>
      <c r="BS2806" s="2"/>
      <c r="BT2806" s="2"/>
      <c r="BU2806" s="2"/>
    </row>
    <row r="2807" spans="68:73" x14ac:dyDescent="0.25">
      <c r="BP2807" s="2"/>
      <c r="BQ2807" s="2"/>
      <c r="BR2807" s="2"/>
      <c r="BS2807" s="2"/>
      <c r="BT2807" s="2"/>
      <c r="BU2807" s="2"/>
    </row>
    <row r="2808" spans="68:73" x14ac:dyDescent="0.25">
      <c r="BP2808" s="2"/>
      <c r="BQ2808" s="2"/>
      <c r="BR2808" s="2"/>
      <c r="BS2808" s="2"/>
      <c r="BT2808" s="2"/>
      <c r="BU2808" s="2"/>
    </row>
    <row r="2809" spans="68:73" x14ac:dyDescent="0.25">
      <c r="BP2809" s="2"/>
      <c r="BQ2809" s="2"/>
      <c r="BR2809" s="2"/>
      <c r="BS2809" s="2"/>
      <c r="BT2809" s="2"/>
      <c r="BU2809" s="2"/>
    </row>
    <row r="2810" spans="68:73" x14ac:dyDescent="0.25">
      <c r="BP2810" s="2"/>
      <c r="BQ2810" s="2"/>
      <c r="BR2810" s="2"/>
      <c r="BS2810" s="2"/>
      <c r="BT2810" s="2"/>
      <c r="BU2810" s="2"/>
    </row>
    <row r="2811" spans="68:73" x14ac:dyDescent="0.25">
      <c r="BP2811" s="2"/>
      <c r="BQ2811" s="2"/>
      <c r="BR2811" s="2"/>
      <c r="BS2811" s="2"/>
      <c r="BT2811" s="2"/>
      <c r="BU2811" s="2"/>
    </row>
    <row r="2812" spans="68:73" x14ac:dyDescent="0.25">
      <c r="BP2812" s="2"/>
      <c r="BQ2812" s="2"/>
      <c r="BR2812" s="2"/>
      <c r="BS2812" s="2"/>
      <c r="BT2812" s="2"/>
      <c r="BU2812" s="2"/>
    </row>
    <row r="2813" spans="68:73" x14ac:dyDescent="0.25">
      <c r="BP2813" s="2"/>
      <c r="BQ2813" s="2"/>
      <c r="BR2813" s="2"/>
      <c r="BS2813" s="2"/>
      <c r="BT2813" s="2"/>
      <c r="BU2813" s="2"/>
    </row>
    <row r="2814" spans="68:73" x14ac:dyDescent="0.25">
      <c r="BP2814" s="2"/>
      <c r="BQ2814" s="2"/>
      <c r="BR2814" s="2"/>
      <c r="BS2814" s="2"/>
      <c r="BT2814" s="2"/>
      <c r="BU2814" s="2"/>
    </row>
    <row r="2815" spans="68:73" x14ac:dyDescent="0.25">
      <c r="BP2815" s="2"/>
      <c r="BQ2815" s="2"/>
      <c r="BR2815" s="2"/>
      <c r="BS2815" s="2"/>
      <c r="BT2815" s="2"/>
      <c r="BU2815" s="2"/>
    </row>
    <row r="2816" spans="68:73" x14ac:dyDescent="0.25">
      <c r="BP2816" s="2"/>
      <c r="BQ2816" s="2"/>
      <c r="BR2816" s="2"/>
      <c r="BS2816" s="2"/>
      <c r="BT2816" s="2"/>
      <c r="BU2816" s="2"/>
    </row>
    <row r="2817" spans="68:73" x14ac:dyDescent="0.25">
      <c r="BP2817" s="2"/>
      <c r="BQ2817" s="2"/>
      <c r="BR2817" s="2"/>
      <c r="BS2817" s="2"/>
      <c r="BT2817" s="2"/>
      <c r="BU2817" s="2"/>
    </row>
    <row r="2818" spans="68:73" x14ac:dyDescent="0.25">
      <c r="BP2818" s="2"/>
      <c r="BQ2818" s="2"/>
      <c r="BR2818" s="2"/>
      <c r="BS2818" s="2"/>
      <c r="BT2818" s="2"/>
      <c r="BU2818" s="2"/>
    </row>
    <row r="2819" spans="68:73" x14ac:dyDescent="0.25">
      <c r="BP2819" s="2"/>
      <c r="BQ2819" s="2"/>
      <c r="BR2819" s="2"/>
      <c r="BS2819" s="2"/>
      <c r="BT2819" s="2"/>
      <c r="BU2819" s="2"/>
    </row>
    <row r="2820" spans="68:73" x14ac:dyDescent="0.25">
      <c r="BP2820" s="2"/>
      <c r="BQ2820" s="2"/>
      <c r="BR2820" s="2"/>
      <c r="BS2820" s="2"/>
      <c r="BT2820" s="2"/>
      <c r="BU2820" s="2"/>
    </row>
    <row r="2821" spans="68:73" x14ac:dyDescent="0.25">
      <c r="BP2821" s="2"/>
      <c r="BQ2821" s="2"/>
      <c r="BR2821" s="2"/>
      <c r="BS2821" s="2"/>
      <c r="BT2821" s="2"/>
      <c r="BU2821" s="2"/>
    </row>
    <row r="2822" spans="68:73" x14ac:dyDescent="0.25">
      <c r="BP2822" s="2"/>
      <c r="BQ2822" s="2"/>
      <c r="BR2822" s="2"/>
      <c r="BS2822" s="2"/>
      <c r="BT2822" s="2"/>
      <c r="BU2822" s="2"/>
    </row>
    <row r="2823" spans="68:73" x14ac:dyDescent="0.25">
      <c r="BP2823" s="2"/>
      <c r="BQ2823" s="2"/>
      <c r="BR2823" s="2"/>
      <c r="BS2823" s="2"/>
      <c r="BT2823" s="2"/>
      <c r="BU2823" s="2"/>
    </row>
    <row r="2824" spans="68:73" x14ac:dyDescent="0.25">
      <c r="BP2824" s="2"/>
      <c r="BQ2824" s="2"/>
      <c r="BR2824" s="2"/>
      <c r="BS2824" s="2"/>
      <c r="BT2824" s="2"/>
      <c r="BU2824" s="2"/>
    </row>
    <row r="2825" spans="68:73" x14ac:dyDescent="0.25">
      <c r="BP2825" s="2"/>
      <c r="BQ2825" s="2"/>
      <c r="BR2825" s="2"/>
      <c r="BS2825" s="2"/>
      <c r="BT2825" s="2"/>
      <c r="BU2825" s="2"/>
    </row>
    <row r="2826" spans="68:73" x14ac:dyDescent="0.25">
      <c r="BP2826" s="2"/>
      <c r="BQ2826" s="2"/>
      <c r="BR2826" s="2"/>
      <c r="BS2826" s="2"/>
      <c r="BT2826" s="2"/>
      <c r="BU2826" s="2"/>
    </row>
    <row r="2827" spans="68:73" x14ac:dyDescent="0.25">
      <c r="BP2827" s="2"/>
      <c r="BQ2827" s="2"/>
      <c r="BR2827" s="2"/>
      <c r="BS2827" s="2"/>
      <c r="BT2827" s="2"/>
      <c r="BU2827" s="2"/>
    </row>
    <row r="2828" spans="68:73" x14ac:dyDescent="0.25">
      <c r="BP2828" s="2"/>
      <c r="BQ2828" s="2"/>
      <c r="BR2828" s="2"/>
      <c r="BS2828" s="2"/>
      <c r="BT2828" s="2"/>
      <c r="BU2828" s="2"/>
    </row>
    <row r="2829" spans="68:73" x14ac:dyDescent="0.25">
      <c r="BP2829" s="2"/>
      <c r="BQ2829" s="2"/>
      <c r="BR2829" s="2"/>
      <c r="BS2829" s="2"/>
      <c r="BT2829" s="2"/>
      <c r="BU2829" s="2"/>
    </row>
    <row r="2830" spans="68:73" x14ac:dyDescent="0.25">
      <c r="BP2830" s="2"/>
      <c r="BQ2830" s="2"/>
      <c r="BR2830" s="2"/>
      <c r="BS2830" s="2"/>
      <c r="BT2830" s="2"/>
      <c r="BU2830" s="2"/>
    </row>
    <row r="2831" spans="68:73" x14ac:dyDescent="0.25">
      <c r="BP2831" s="2"/>
      <c r="BQ2831" s="2"/>
      <c r="BR2831" s="2"/>
      <c r="BS2831" s="2"/>
      <c r="BT2831" s="2"/>
      <c r="BU2831" s="2"/>
    </row>
    <row r="2832" spans="68:73" x14ac:dyDescent="0.25">
      <c r="BP2832" s="2"/>
      <c r="BQ2832" s="2"/>
      <c r="BR2832" s="2"/>
      <c r="BS2832" s="2"/>
      <c r="BT2832" s="2"/>
      <c r="BU2832" s="2"/>
    </row>
    <row r="2833" spans="68:73" x14ac:dyDescent="0.25">
      <c r="BP2833" s="2"/>
      <c r="BQ2833" s="2"/>
      <c r="BR2833" s="2"/>
      <c r="BS2833" s="2"/>
      <c r="BT2833" s="2"/>
      <c r="BU2833" s="2"/>
    </row>
    <row r="2834" spans="68:73" x14ac:dyDescent="0.25">
      <c r="BP2834" s="2"/>
      <c r="BQ2834" s="2"/>
      <c r="BR2834" s="2"/>
      <c r="BS2834" s="2"/>
      <c r="BT2834" s="2"/>
      <c r="BU2834" s="2"/>
    </row>
    <row r="2835" spans="68:73" x14ac:dyDescent="0.25">
      <c r="BP2835" s="2"/>
      <c r="BQ2835" s="2"/>
      <c r="BR2835" s="2"/>
      <c r="BS2835" s="2"/>
      <c r="BT2835" s="2"/>
      <c r="BU2835" s="2"/>
    </row>
    <row r="2836" spans="68:73" x14ac:dyDescent="0.25">
      <c r="BP2836" s="2"/>
      <c r="BQ2836" s="2"/>
      <c r="BR2836" s="2"/>
      <c r="BS2836" s="2"/>
      <c r="BT2836" s="2"/>
      <c r="BU2836" s="2"/>
    </row>
    <row r="2837" spans="68:73" x14ac:dyDescent="0.25">
      <c r="BP2837" s="2"/>
      <c r="BQ2837" s="2"/>
      <c r="BR2837" s="2"/>
      <c r="BS2837" s="2"/>
      <c r="BT2837" s="2"/>
      <c r="BU2837" s="2"/>
    </row>
    <row r="2838" spans="68:73" x14ac:dyDescent="0.25">
      <c r="BP2838" s="2"/>
      <c r="BQ2838" s="2"/>
      <c r="BR2838" s="2"/>
      <c r="BS2838" s="2"/>
      <c r="BT2838" s="2"/>
      <c r="BU2838" s="2"/>
    </row>
    <row r="2839" spans="68:73" x14ac:dyDescent="0.25">
      <c r="BP2839" s="2"/>
      <c r="BQ2839" s="2"/>
      <c r="BR2839" s="2"/>
      <c r="BS2839" s="2"/>
      <c r="BT2839" s="2"/>
      <c r="BU2839" s="2"/>
    </row>
    <row r="2840" spans="68:73" x14ac:dyDescent="0.25">
      <c r="BP2840" s="2"/>
      <c r="BQ2840" s="2"/>
      <c r="BR2840" s="2"/>
      <c r="BS2840" s="2"/>
      <c r="BT2840" s="2"/>
      <c r="BU2840" s="2"/>
    </row>
    <row r="2841" spans="68:73" x14ac:dyDescent="0.25">
      <c r="BP2841" s="2"/>
      <c r="BQ2841" s="2"/>
      <c r="BR2841" s="2"/>
      <c r="BS2841" s="2"/>
      <c r="BT2841" s="2"/>
      <c r="BU2841" s="2"/>
    </row>
    <row r="2842" spans="68:73" x14ac:dyDescent="0.25">
      <c r="BP2842" s="2"/>
      <c r="BQ2842" s="2"/>
      <c r="BR2842" s="2"/>
      <c r="BS2842" s="2"/>
      <c r="BT2842" s="2"/>
      <c r="BU2842" s="2"/>
    </row>
    <row r="2843" spans="68:73" x14ac:dyDescent="0.25">
      <c r="BP2843" s="2"/>
      <c r="BQ2843" s="2"/>
      <c r="BR2843" s="2"/>
      <c r="BS2843" s="2"/>
      <c r="BT2843" s="2"/>
      <c r="BU2843" s="2"/>
    </row>
    <row r="2844" spans="68:73" x14ac:dyDescent="0.25">
      <c r="BP2844" s="2"/>
      <c r="BQ2844" s="2"/>
      <c r="BR2844" s="2"/>
      <c r="BS2844" s="2"/>
      <c r="BT2844" s="2"/>
      <c r="BU2844" s="2"/>
    </row>
    <row r="2845" spans="68:73" x14ac:dyDescent="0.25">
      <c r="BP2845" s="2"/>
      <c r="BQ2845" s="2"/>
      <c r="BR2845" s="2"/>
      <c r="BS2845" s="2"/>
      <c r="BT2845" s="2"/>
      <c r="BU2845" s="2"/>
    </row>
    <row r="2846" spans="68:73" x14ac:dyDescent="0.25">
      <c r="BP2846" s="2"/>
      <c r="BQ2846" s="2"/>
      <c r="BR2846" s="2"/>
      <c r="BS2846" s="2"/>
      <c r="BT2846" s="2"/>
      <c r="BU2846" s="2"/>
    </row>
    <row r="2847" spans="68:73" x14ac:dyDescent="0.25">
      <c r="BP2847" s="2"/>
      <c r="BQ2847" s="2"/>
      <c r="BR2847" s="2"/>
      <c r="BS2847" s="2"/>
      <c r="BT2847" s="2"/>
      <c r="BU2847" s="2"/>
    </row>
    <row r="2848" spans="68:73" x14ac:dyDescent="0.25">
      <c r="BP2848" s="2"/>
      <c r="BQ2848" s="2"/>
      <c r="BR2848" s="2"/>
      <c r="BS2848" s="2"/>
      <c r="BT2848" s="2"/>
      <c r="BU2848" s="2"/>
    </row>
    <row r="2849" spans="68:73" x14ac:dyDescent="0.25">
      <c r="BP2849" s="2"/>
      <c r="BQ2849" s="2"/>
      <c r="BR2849" s="2"/>
      <c r="BS2849" s="2"/>
      <c r="BT2849" s="2"/>
      <c r="BU2849" s="2"/>
    </row>
    <row r="2850" spans="68:73" x14ac:dyDescent="0.25">
      <c r="BP2850" s="2"/>
      <c r="BQ2850" s="2"/>
      <c r="BR2850" s="2"/>
      <c r="BS2850" s="2"/>
      <c r="BT2850" s="2"/>
      <c r="BU2850" s="2"/>
    </row>
    <row r="2851" spans="68:73" x14ac:dyDescent="0.25">
      <c r="BP2851" s="2"/>
      <c r="BQ2851" s="2"/>
      <c r="BR2851" s="2"/>
      <c r="BS2851" s="2"/>
      <c r="BT2851" s="2"/>
      <c r="BU2851" s="2"/>
    </row>
    <row r="2852" spans="68:73" x14ac:dyDescent="0.25">
      <c r="BP2852" s="2"/>
      <c r="BQ2852" s="2"/>
      <c r="BR2852" s="2"/>
      <c r="BS2852" s="2"/>
      <c r="BT2852" s="2"/>
      <c r="BU2852" s="2"/>
    </row>
    <row r="2853" spans="68:73" x14ac:dyDescent="0.25">
      <c r="BP2853" s="2"/>
      <c r="BQ2853" s="2"/>
      <c r="BR2853" s="2"/>
      <c r="BS2853" s="2"/>
      <c r="BT2853" s="2"/>
      <c r="BU2853" s="2"/>
    </row>
    <row r="2854" spans="68:73" x14ac:dyDescent="0.25">
      <c r="BP2854" s="2"/>
      <c r="BQ2854" s="2"/>
      <c r="BR2854" s="2"/>
      <c r="BS2854" s="2"/>
      <c r="BT2854" s="2"/>
      <c r="BU2854" s="2"/>
    </row>
    <row r="2855" spans="68:73" x14ac:dyDescent="0.25">
      <c r="BP2855" s="2"/>
      <c r="BQ2855" s="2"/>
      <c r="BR2855" s="2"/>
      <c r="BS2855" s="2"/>
      <c r="BT2855" s="2"/>
      <c r="BU2855" s="2"/>
    </row>
    <row r="2856" spans="68:73" x14ac:dyDescent="0.25">
      <c r="BP2856" s="2"/>
      <c r="BQ2856" s="2"/>
      <c r="BR2856" s="2"/>
      <c r="BS2856" s="2"/>
      <c r="BT2856" s="2"/>
      <c r="BU2856" s="2"/>
    </row>
    <row r="2857" spans="68:73" x14ac:dyDescent="0.25">
      <c r="BP2857" s="2"/>
      <c r="BQ2857" s="2"/>
      <c r="BR2857" s="2"/>
      <c r="BS2857" s="2"/>
      <c r="BT2857" s="2"/>
      <c r="BU2857" s="2"/>
    </row>
    <row r="2858" spans="68:73" x14ac:dyDescent="0.25">
      <c r="BP2858" s="2"/>
      <c r="BQ2858" s="2"/>
      <c r="BR2858" s="2"/>
      <c r="BS2858" s="2"/>
      <c r="BT2858" s="2"/>
      <c r="BU2858" s="2"/>
    </row>
    <row r="2859" spans="68:73" x14ac:dyDescent="0.25">
      <c r="BP2859" s="2"/>
      <c r="BQ2859" s="2"/>
      <c r="BR2859" s="2"/>
      <c r="BS2859" s="2"/>
      <c r="BT2859" s="2"/>
      <c r="BU2859" s="2"/>
    </row>
    <row r="2860" spans="68:73" x14ac:dyDescent="0.25">
      <c r="BP2860" s="2"/>
      <c r="BQ2860" s="2"/>
      <c r="BR2860" s="2"/>
      <c r="BS2860" s="2"/>
      <c r="BT2860" s="2"/>
      <c r="BU2860" s="2"/>
    </row>
    <row r="2861" spans="68:73" x14ac:dyDescent="0.25">
      <c r="BP2861" s="2"/>
      <c r="BQ2861" s="2"/>
      <c r="BR2861" s="2"/>
      <c r="BS2861" s="2"/>
      <c r="BT2861" s="2"/>
      <c r="BU2861" s="2"/>
    </row>
    <row r="2862" spans="68:73" x14ac:dyDescent="0.25">
      <c r="BP2862" s="2"/>
      <c r="BQ2862" s="2"/>
      <c r="BR2862" s="2"/>
      <c r="BS2862" s="2"/>
      <c r="BT2862" s="2"/>
      <c r="BU2862" s="2"/>
    </row>
    <row r="2863" spans="68:73" x14ac:dyDescent="0.25">
      <c r="BP2863" s="2"/>
      <c r="BQ2863" s="2"/>
      <c r="BR2863" s="2"/>
      <c r="BS2863" s="2"/>
      <c r="BT2863" s="2"/>
      <c r="BU2863" s="2"/>
    </row>
    <row r="2864" spans="68:73" x14ac:dyDescent="0.25">
      <c r="BP2864" s="2"/>
      <c r="BQ2864" s="2"/>
      <c r="BR2864" s="2"/>
      <c r="BS2864" s="2"/>
      <c r="BT2864" s="2"/>
      <c r="BU2864" s="2"/>
    </row>
    <row r="2865" spans="68:73" x14ac:dyDescent="0.25">
      <c r="BP2865" s="2"/>
      <c r="BQ2865" s="2"/>
      <c r="BR2865" s="2"/>
      <c r="BS2865" s="2"/>
      <c r="BT2865" s="2"/>
      <c r="BU2865" s="2"/>
    </row>
    <row r="2866" spans="68:73" x14ac:dyDescent="0.25">
      <c r="BP2866" s="2"/>
      <c r="BQ2866" s="2"/>
      <c r="BR2866" s="2"/>
      <c r="BS2866" s="2"/>
      <c r="BT2866" s="2"/>
      <c r="BU2866" s="2"/>
    </row>
    <row r="2867" spans="68:73" x14ac:dyDescent="0.25">
      <c r="BP2867" s="2"/>
      <c r="BQ2867" s="2"/>
      <c r="BR2867" s="2"/>
      <c r="BS2867" s="2"/>
      <c r="BT2867" s="2"/>
      <c r="BU2867" s="2"/>
    </row>
    <row r="2868" spans="68:73" x14ac:dyDescent="0.25">
      <c r="BP2868" s="2"/>
      <c r="BQ2868" s="2"/>
      <c r="BR2868" s="2"/>
      <c r="BS2868" s="2"/>
      <c r="BT2868" s="2"/>
      <c r="BU2868" s="2"/>
    </row>
    <row r="2869" spans="68:73" x14ac:dyDescent="0.25">
      <c r="BP2869" s="2"/>
      <c r="BQ2869" s="2"/>
      <c r="BR2869" s="2"/>
      <c r="BS2869" s="2"/>
      <c r="BT2869" s="2"/>
      <c r="BU2869" s="2"/>
    </row>
    <row r="2870" spans="68:73" x14ac:dyDescent="0.25">
      <c r="BP2870" s="2"/>
      <c r="BQ2870" s="2"/>
      <c r="BR2870" s="2"/>
      <c r="BS2870" s="2"/>
      <c r="BT2870" s="2"/>
      <c r="BU2870" s="2"/>
    </row>
    <row r="2871" spans="68:73" x14ac:dyDescent="0.25">
      <c r="BP2871" s="2"/>
      <c r="BQ2871" s="2"/>
      <c r="BR2871" s="2"/>
      <c r="BS2871" s="2"/>
      <c r="BT2871" s="2"/>
      <c r="BU2871" s="2"/>
    </row>
    <row r="2872" spans="68:73" x14ac:dyDescent="0.25">
      <c r="BP2872" s="2"/>
      <c r="BQ2872" s="2"/>
      <c r="BR2872" s="2"/>
      <c r="BS2872" s="2"/>
      <c r="BT2872" s="2"/>
      <c r="BU2872" s="2"/>
    </row>
    <row r="2873" spans="68:73" x14ac:dyDescent="0.25">
      <c r="BP2873" s="2"/>
      <c r="BQ2873" s="2"/>
      <c r="BR2873" s="2"/>
      <c r="BS2873" s="2"/>
      <c r="BT2873" s="2"/>
      <c r="BU2873" s="2"/>
    </row>
    <row r="2874" spans="68:73" x14ac:dyDescent="0.25">
      <c r="BP2874" s="2"/>
      <c r="BQ2874" s="2"/>
      <c r="BR2874" s="2"/>
      <c r="BS2874" s="2"/>
      <c r="BT2874" s="2"/>
      <c r="BU2874" s="2"/>
    </row>
    <row r="2875" spans="68:73" x14ac:dyDescent="0.25">
      <c r="BP2875" s="2"/>
      <c r="BQ2875" s="2"/>
      <c r="BR2875" s="2"/>
      <c r="BS2875" s="2"/>
      <c r="BT2875" s="2"/>
      <c r="BU2875" s="2"/>
    </row>
    <row r="2876" spans="68:73" x14ac:dyDescent="0.25">
      <c r="BP2876" s="2"/>
      <c r="BQ2876" s="2"/>
      <c r="BR2876" s="2"/>
      <c r="BS2876" s="2"/>
      <c r="BT2876" s="2"/>
      <c r="BU2876" s="2"/>
    </row>
    <row r="2877" spans="68:73" x14ac:dyDescent="0.25">
      <c r="BP2877" s="2"/>
      <c r="BQ2877" s="2"/>
      <c r="BR2877" s="2"/>
      <c r="BS2877" s="2"/>
      <c r="BT2877" s="2"/>
      <c r="BU2877" s="2"/>
    </row>
    <row r="2878" spans="68:73" x14ac:dyDescent="0.25">
      <c r="BP2878" s="2"/>
      <c r="BQ2878" s="2"/>
      <c r="BR2878" s="2"/>
      <c r="BS2878" s="2"/>
      <c r="BT2878" s="2"/>
      <c r="BU2878" s="2"/>
    </row>
    <row r="2879" spans="68:73" x14ac:dyDescent="0.25">
      <c r="BP2879" s="2"/>
      <c r="BQ2879" s="2"/>
      <c r="BR2879" s="2"/>
      <c r="BS2879" s="2"/>
      <c r="BT2879" s="2"/>
      <c r="BU2879" s="2"/>
    </row>
    <row r="2880" spans="68:73" x14ac:dyDescent="0.25">
      <c r="BP2880" s="2"/>
      <c r="BQ2880" s="2"/>
      <c r="BR2880" s="2"/>
      <c r="BS2880" s="2"/>
      <c r="BT2880" s="2"/>
      <c r="BU2880" s="2"/>
    </row>
    <row r="2881" spans="68:73" x14ac:dyDescent="0.25">
      <c r="BP2881" s="2"/>
      <c r="BQ2881" s="2"/>
      <c r="BR2881" s="2"/>
      <c r="BS2881" s="2"/>
      <c r="BT2881" s="2"/>
      <c r="BU2881" s="2"/>
    </row>
    <row r="2882" spans="68:73" x14ac:dyDescent="0.25">
      <c r="BP2882" s="2"/>
      <c r="BQ2882" s="2"/>
      <c r="BR2882" s="2"/>
      <c r="BS2882" s="2"/>
      <c r="BT2882" s="2"/>
      <c r="BU2882" s="2"/>
    </row>
    <row r="2883" spans="68:73" x14ac:dyDescent="0.25">
      <c r="BP2883" s="2"/>
      <c r="BQ2883" s="2"/>
      <c r="BR2883" s="2"/>
      <c r="BS2883" s="2"/>
      <c r="BT2883" s="2"/>
      <c r="BU2883" s="2"/>
    </row>
    <row r="2884" spans="68:73" x14ac:dyDescent="0.25">
      <c r="BP2884" s="2"/>
      <c r="BQ2884" s="2"/>
      <c r="BR2884" s="2"/>
      <c r="BS2884" s="2"/>
      <c r="BT2884" s="2"/>
      <c r="BU2884" s="2"/>
    </row>
    <row r="2885" spans="68:73" x14ac:dyDescent="0.25">
      <c r="BP2885" s="2"/>
      <c r="BQ2885" s="2"/>
      <c r="BR2885" s="2"/>
      <c r="BS2885" s="2"/>
      <c r="BT2885" s="2"/>
      <c r="BU2885" s="2"/>
    </row>
    <row r="2886" spans="68:73" x14ac:dyDescent="0.25">
      <c r="BP2886" s="2"/>
      <c r="BQ2886" s="2"/>
      <c r="BR2886" s="2"/>
      <c r="BS2886" s="2"/>
      <c r="BT2886" s="2"/>
      <c r="BU2886" s="2"/>
    </row>
    <row r="2887" spans="68:73" x14ac:dyDescent="0.25">
      <c r="BP2887" s="2"/>
      <c r="BQ2887" s="2"/>
      <c r="BR2887" s="2"/>
      <c r="BS2887" s="2"/>
      <c r="BT2887" s="2"/>
      <c r="BU2887" s="2"/>
    </row>
    <row r="2888" spans="68:73" x14ac:dyDescent="0.25">
      <c r="BP2888" s="2"/>
      <c r="BQ2888" s="2"/>
      <c r="BR2888" s="2"/>
      <c r="BS2888" s="2"/>
      <c r="BT2888" s="2"/>
      <c r="BU2888" s="2"/>
    </row>
    <row r="2889" spans="68:73" x14ac:dyDescent="0.25">
      <c r="BP2889" s="2"/>
      <c r="BQ2889" s="2"/>
      <c r="BR2889" s="2"/>
      <c r="BS2889" s="2"/>
      <c r="BT2889" s="2"/>
      <c r="BU2889" s="2"/>
    </row>
    <row r="2890" spans="68:73" x14ac:dyDescent="0.25">
      <c r="BP2890" s="2"/>
      <c r="BQ2890" s="2"/>
      <c r="BR2890" s="2"/>
      <c r="BS2890" s="2"/>
      <c r="BT2890" s="2"/>
      <c r="BU2890" s="2"/>
    </row>
    <row r="2891" spans="68:73" x14ac:dyDescent="0.25">
      <c r="BP2891" s="2"/>
      <c r="BQ2891" s="2"/>
      <c r="BR2891" s="2"/>
      <c r="BS2891" s="2"/>
      <c r="BT2891" s="2"/>
      <c r="BU2891" s="2"/>
    </row>
    <row r="2892" spans="68:73" x14ac:dyDescent="0.25">
      <c r="BP2892" s="2"/>
      <c r="BQ2892" s="2"/>
      <c r="BR2892" s="2"/>
      <c r="BS2892" s="2"/>
      <c r="BT2892" s="2"/>
      <c r="BU2892" s="2"/>
    </row>
    <row r="2893" spans="68:73" x14ac:dyDescent="0.25">
      <c r="BP2893" s="2"/>
      <c r="BQ2893" s="2"/>
      <c r="BR2893" s="2"/>
      <c r="BS2893" s="2"/>
      <c r="BT2893" s="2"/>
      <c r="BU2893" s="2"/>
    </row>
    <row r="2894" spans="68:73" x14ac:dyDescent="0.25">
      <c r="BP2894" s="2"/>
      <c r="BQ2894" s="2"/>
      <c r="BR2894" s="2"/>
      <c r="BS2894" s="2"/>
      <c r="BT2894" s="2"/>
      <c r="BU2894" s="2"/>
    </row>
    <row r="2895" spans="68:73" x14ac:dyDescent="0.25">
      <c r="BP2895" s="2"/>
      <c r="BQ2895" s="2"/>
      <c r="BR2895" s="2"/>
      <c r="BS2895" s="2"/>
      <c r="BT2895" s="2"/>
      <c r="BU2895" s="2"/>
    </row>
    <row r="2896" spans="68:73" x14ac:dyDescent="0.25">
      <c r="BP2896" s="2"/>
      <c r="BQ2896" s="2"/>
      <c r="BR2896" s="2"/>
      <c r="BS2896" s="2"/>
      <c r="BT2896" s="2"/>
      <c r="BU2896" s="2"/>
    </row>
    <row r="2897" spans="68:73" x14ac:dyDescent="0.25">
      <c r="BP2897" s="2"/>
      <c r="BQ2897" s="2"/>
      <c r="BR2897" s="2"/>
      <c r="BS2897" s="2"/>
      <c r="BT2897" s="2"/>
      <c r="BU2897" s="2"/>
    </row>
    <row r="2898" spans="68:73" x14ac:dyDescent="0.25">
      <c r="BP2898" s="2"/>
      <c r="BQ2898" s="2"/>
      <c r="BR2898" s="2"/>
      <c r="BS2898" s="2"/>
      <c r="BT2898" s="2"/>
      <c r="BU2898" s="2"/>
    </row>
    <row r="2899" spans="68:73" x14ac:dyDescent="0.25">
      <c r="BP2899" s="2"/>
      <c r="BQ2899" s="2"/>
      <c r="BR2899" s="2"/>
      <c r="BS2899" s="2"/>
      <c r="BT2899" s="2"/>
      <c r="BU2899" s="2"/>
    </row>
    <row r="2900" spans="68:73" x14ac:dyDescent="0.25">
      <c r="BP2900" s="2"/>
      <c r="BQ2900" s="2"/>
      <c r="BR2900" s="2"/>
      <c r="BS2900" s="2"/>
      <c r="BT2900" s="2"/>
      <c r="BU2900" s="2"/>
    </row>
    <row r="2901" spans="68:73" x14ac:dyDescent="0.25">
      <c r="BP2901" s="2"/>
      <c r="BQ2901" s="2"/>
      <c r="BR2901" s="2"/>
      <c r="BS2901" s="2"/>
      <c r="BT2901" s="2"/>
      <c r="BU2901" s="2"/>
    </row>
    <row r="2902" spans="68:73" x14ac:dyDescent="0.25">
      <c r="BP2902" s="2"/>
      <c r="BQ2902" s="2"/>
      <c r="BR2902" s="2"/>
      <c r="BS2902" s="2"/>
      <c r="BT2902" s="2"/>
      <c r="BU2902" s="2"/>
    </row>
    <row r="2903" spans="68:73" x14ac:dyDescent="0.25">
      <c r="BP2903" s="2"/>
      <c r="BQ2903" s="2"/>
      <c r="BR2903" s="2"/>
      <c r="BS2903" s="2"/>
      <c r="BT2903" s="2"/>
      <c r="BU2903" s="2"/>
    </row>
    <row r="2904" spans="68:73" x14ac:dyDescent="0.25">
      <c r="BP2904" s="2"/>
      <c r="BQ2904" s="2"/>
      <c r="BR2904" s="2"/>
      <c r="BS2904" s="2"/>
      <c r="BT2904" s="2"/>
      <c r="BU2904" s="2"/>
    </row>
    <row r="2905" spans="68:73" x14ac:dyDescent="0.25">
      <c r="BP2905" s="2"/>
      <c r="BQ2905" s="2"/>
      <c r="BR2905" s="2"/>
      <c r="BS2905" s="2"/>
      <c r="BT2905" s="2"/>
      <c r="BU2905" s="2"/>
    </row>
    <row r="2906" spans="68:73" x14ac:dyDescent="0.25">
      <c r="BP2906" s="2"/>
      <c r="BQ2906" s="2"/>
      <c r="BR2906" s="2"/>
      <c r="BS2906" s="2"/>
      <c r="BT2906" s="2"/>
      <c r="BU2906" s="2"/>
    </row>
    <row r="2907" spans="68:73" x14ac:dyDescent="0.25">
      <c r="BP2907" s="2"/>
      <c r="BQ2907" s="2"/>
      <c r="BR2907" s="2"/>
      <c r="BS2907" s="2"/>
      <c r="BT2907" s="2"/>
      <c r="BU2907" s="2"/>
    </row>
    <row r="2908" spans="68:73" x14ac:dyDescent="0.25">
      <c r="BP2908" s="2"/>
      <c r="BQ2908" s="2"/>
      <c r="BR2908" s="2"/>
      <c r="BS2908" s="2"/>
      <c r="BT2908" s="2"/>
      <c r="BU2908" s="2"/>
    </row>
    <row r="2909" spans="68:73" x14ac:dyDescent="0.25">
      <c r="BP2909" s="2"/>
      <c r="BQ2909" s="2"/>
      <c r="BR2909" s="2"/>
      <c r="BS2909" s="2"/>
      <c r="BT2909" s="2"/>
      <c r="BU2909" s="2"/>
    </row>
    <row r="2910" spans="68:73" x14ac:dyDescent="0.25">
      <c r="BP2910" s="2"/>
      <c r="BQ2910" s="2"/>
      <c r="BR2910" s="2"/>
      <c r="BS2910" s="2"/>
      <c r="BT2910" s="2"/>
      <c r="BU2910" s="2"/>
    </row>
    <row r="2911" spans="68:73" x14ac:dyDescent="0.25">
      <c r="BP2911" s="2"/>
      <c r="BQ2911" s="2"/>
      <c r="BR2911" s="2"/>
      <c r="BS2911" s="2"/>
      <c r="BT2911" s="2"/>
      <c r="BU2911" s="2"/>
    </row>
    <row r="2912" spans="68:73" x14ac:dyDescent="0.25">
      <c r="BP2912" s="2"/>
      <c r="BQ2912" s="2"/>
      <c r="BR2912" s="2"/>
      <c r="BS2912" s="2"/>
      <c r="BT2912" s="2"/>
      <c r="BU2912" s="2"/>
    </row>
    <row r="2913" spans="68:73" x14ac:dyDescent="0.25">
      <c r="BP2913" s="2"/>
      <c r="BQ2913" s="2"/>
      <c r="BR2913" s="2"/>
      <c r="BS2913" s="2"/>
      <c r="BT2913" s="2"/>
      <c r="BU2913" s="2"/>
    </row>
    <row r="2914" spans="68:73" x14ac:dyDescent="0.25">
      <c r="BP2914" s="2"/>
      <c r="BQ2914" s="2"/>
      <c r="BR2914" s="2"/>
      <c r="BS2914" s="2"/>
      <c r="BT2914" s="2"/>
      <c r="BU2914" s="2"/>
    </row>
    <row r="2915" spans="68:73" x14ac:dyDescent="0.25">
      <c r="BP2915" s="2"/>
      <c r="BQ2915" s="2"/>
      <c r="BR2915" s="2"/>
      <c r="BS2915" s="2"/>
      <c r="BT2915" s="2"/>
      <c r="BU2915" s="2"/>
    </row>
    <row r="2916" spans="68:73" x14ac:dyDescent="0.25">
      <c r="BP2916" s="2"/>
      <c r="BQ2916" s="2"/>
      <c r="BR2916" s="2"/>
      <c r="BS2916" s="2"/>
      <c r="BT2916" s="2"/>
      <c r="BU2916" s="2"/>
    </row>
    <row r="2917" spans="68:73" x14ac:dyDescent="0.25">
      <c r="BP2917" s="2"/>
      <c r="BQ2917" s="2"/>
      <c r="BR2917" s="2"/>
      <c r="BS2917" s="2"/>
      <c r="BT2917" s="2"/>
      <c r="BU2917" s="2"/>
    </row>
    <row r="2918" spans="68:73" x14ac:dyDescent="0.25">
      <c r="BP2918" s="2"/>
      <c r="BQ2918" s="2"/>
      <c r="BR2918" s="2"/>
      <c r="BS2918" s="2"/>
      <c r="BT2918" s="2"/>
      <c r="BU2918" s="2"/>
    </row>
    <row r="2919" spans="68:73" x14ac:dyDescent="0.25">
      <c r="BP2919" s="2"/>
      <c r="BQ2919" s="2"/>
      <c r="BR2919" s="2"/>
      <c r="BS2919" s="2"/>
      <c r="BT2919" s="2"/>
      <c r="BU2919" s="2"/>
    </row>
    <row r="2920" spans="68:73" x14ac:dyDescent="0.25">
      <c r="BP2920" s="2"/>
      <c r="BQ2920" s="2"/>
      <c r="BR2920" s="2"/>
      <c r="BS2920" s="2"/>
      <c r="BT2920" s="2"/>
      <c r="BU2920" s="2"/>
    </row>
    <row r="2921" spans="68:73" x14ac:dyDescent="0.25">
      <c r="BP2921" s="2"/>
      <c r="BQ2921" s="2"/>
      <c r="BR2921" s="2"/>
      <c r="BS2921" s="2"/>
      <c r="BT2921" s="2"/>
      <c r="BU2921" s="2"/>
    </row>
    <row r="2922" spans="68:73" x14ac:dyDescent="0.25">
      <c r="BP2922" s="2"/>
      <c r="BQ2922" s="2"/>
      <c r="BR2922" s="2"/>
      <c r="BS2922" s="2"/>
      <c r="BT2922" s="2"/>
      <c r="BU2922" s="2"/>
    </row>
    <row r="2923" spans="68:73" x14ac:dyDescent="0.25">
      <c r="BP2923" s="2"/>
      <c r="BQ2923" s="2"/>
      <c r="BR2923" s="2"/>
      <c r="BS2923" s="2"/>
      <c r="BT2923" s="2"/>
      <c r="BU2923" s="2"/>
    </row>
    <row r="2924" spans="68:73" x14ac:dyDescent="0.25">
      <c r="BP2924" s="2"/>
      <c r="BQ2924" s="2"/>
      <c r="BR2924" s="2"/>
      <c r="BS2924" s="2"/>
      <c r="BT2924" s="2"/>
      <c r="BU2924" s="2"/>
    </row>
    <row r="2925" spans="68:73" x14ac:dyDescent="0.25">
      <c r="BP2925" s="2"/>
      <c r="BQ2925" s="2"/>
      <c r="BR2925" s="2"/>
      <c r="BS2925" s="2"/>
      <c r="BT2925" s="2"/>
      <c r="BU2925" s="2"/>
    </row>
    <row r="2926" spans="68:73" x14ac:dyDescent="0.25">
      <c r="BP2926" s="2"/>
      <c r="BQ2926" s="2"/>
      <c r="BR2926" s="2"/>
      <c r="BS2926" s="2"/>
      <c r="BT2926" s="2"/>
      <c r="BU2926" s="2"/>
    </row>
    <row r="2927" spans="68:73" x14ac:dyDescent="0.25">
      <c r="BP2927" s="2"/>
      <c r="BQ2927" s="2"/>
      <c r="BR2927" s="2"/>
      <c r="BS2927" s="2"/>
      <c r="BT2927" s="2"/>
      <c r="BU2927" s="2"/>
    </row>
    <row r="2928" spans="68:73" x14ac:dyDescent="0.25">
      <c r="BP2928" s="2"/>
      <c r="BQ2928" s="2"/>
      <c r="BR2928" s="2"/>
      <c r="BS2928" s="2"/>
      <c r="BT2928" s="2"/>
      <c r="BU2928" s="2"/>
    </row>
    <row r="2929" spans="68:73" x14ac:dyDescent="0.25">
      <c r="BP2929" s="2"/>
      <c r="BQ2929" s="2"/>
      <c r="BR2929" s="2"/>
      <c r="BS2929" s="2"/>
      <c r="BT2929" s="2"/>
      <c r="BU2929" s="2"/>
    </row>
    <row r="2930" spans="68:73" x14ac:dyDescent="0.25">
      <c r="BP2930" s="2"/>
      <c r="BQ2930" s="2"/>
      <c r="BR2930" s="2"/>
      <c r="BS2930" s="2"/>
      <c r="BT2930" s="2"/>
      <c r="BU2930" s="2"/>
    </row>
    <row r="2931" spans="68:73" x14ac:dyDescent="0.25">
      <c r="BP2931" s="2"/>
      <c r="BQ2931" s="2"/>
      <c r="BR2931" s="2"/>
      <c r="BS2931" s="2"/>
      <c r="BT2931" s="2"/>
      <c r="BU2931" s="2"/>
    </row>
    <row r="2932" spans="68:73" x14ac:dyDescent="0.25">
      <c r="BP2932" s="2"/>
      <c r="BQ2932" s="2"/>
      <c r="BR2932" s="2"/>
      <c r="BS2932" s="2"/>
      <c r="BT2932" s="2"/>
      <c r="BU2932" s="2"/>
    </row>
    <row r="2933" spans="68:73" x14ac:dyDescent="0.25">
      <c r="BP2933" s="2"/>
      <c r="BQ2933" s="2"/>
      <c r="BR2933" s="2"/>
      <c r="BS2933" s="2"/>
      <c r="BT2933" s="2"/>
      <c r="BU2933" s="2"/>
    </row>
    <row r="2934" spans="68:73" x14ac:dyDescent="0.25">
      <c r="BP2934" s="2"/>
      <c r="BQ2934" s="2"/>
      <c r="BR2934" s="2"/>
      <c r="BS2934" s="2"/>
      <c r="BT2934" s="2"/>
      <c r="BU2934" s="2"/>
    </row>
    <row r="2935" spans="68:73" x14ac:dyDescent="0.25">
      <c r="BP2935" s="2"/>
      <c r="BQ2935" s="2"/>
      <c r="BR2935" s="2"/>
      <c r="BS2935" s="2"/>
      <c r="BT2935" s="2"/>
      <c r="BU2935" s="2"/>
    </row>
    <row r="2936" spans="68:73" x14ac:dyDescent="0.25">
      <c r="BP2936" s="2"/>
      <c r="BQ2936" s="2"/>
      <c r="BR2936" s="2"/>
      <c r="BS2936" s="2"/>
      <c r="BT2936" s="2"/>
      <c r="BU2936" s="2"/>
    </row>
    <row r="2937" spans="68:73" x14ac:dyDescent="0.25">
      <c r="BP2937" s="2"/>
      <c r="BQ2937" s="2"/>
      <c r="BR2937" s="2"/>
      <c r="BS2937" s="2"/>
      <c r="BT2937" s="2"/>
      <c r="BU2937" s="2"/>
    </row>
    <row r="2938" spans="68:73" x14ac:dyDescent="0.25">
      <c r="BP2938" s="2"/>
      <c r="BQ2938" s="2"/>
      <c r="BR2938" s="2"/>
      <c r="BS2938" s="2"/>
      <c r="BT2938" s="2"/>
      <c r="BU2938" s="2"/>
    </row>
    <row r="2939" spans="68:73" x14ac:dyDescent="0.25">
      <c r="BP2939" s="2"/>
      <c r="BQ2939" s="2"/>
      <c r="BR2939" s="2"/>
      <c r="BS2939" s="2"/>
      <c r="BT2939" s="2"/>
      <c r="BU2939" s="2"/>
    </row>
    <row r="2940" spans="68:73" x14ac:dyDescent="0.25">
      <c r="BP2940" s="2"/>
      <c r="BQ2940" s="2"/>
      <c r="BR2940" s="2"/>
      <c r="BS2940" s="2"/>
      <c r="BT2940" s="2"/>
      <c r="BU2940" s="2"/>
    </row>
    <row r="2941" spans="68:73" x14ac:dyDescent="0.25">
      <c r="BP2941" s="2"/>
      <c r="BQ2941" s="2"/>
      <c r="BR2941" s="2"/>
      <c r="BS2941" s="2"/>
      <c r="BT2941" s="2"/>
      <c r="BU2941" s="2"/>
    </row>
    <row r="2942" spans="68:73" x14ac:dyDescent="0.25">
      <c r="BP2942" s="2"/>
      <c r="BQ2942" s="2"/>
      <c r="BR2942" s="2"/>
      <c r="BS2942" s="2"/>
      <c r="BT2942" s="2"/>
      <c r="BU2942" s="2"/>
    </row>
    <row r="2943" spans="68:73" x14ac:dyDescent="0.25">
      <c r="BP2943" s="2"/>
      <c r="BQ2943" s="2"/>
      <c r="BR2943" s="2"/>
      <c r="BS2943" s="2"/>
      <c r="BT2943" s="2"/>
      <c r="BU2943" s="2"/>
    </row>
    <row r="2944" spans="68:73" x14ac:dyDescent="0.25">
      <c r="BP2944" s="2"/>
      <c r="BQ2944" s="2"/>
      <c r="BR2944" s="2"/>
      <c r="BS2944" s="2"/>
      <c r="BT2944" s="2"/>
      <c r="BU2944" s="2"/>
    </row>
    <row r="2945" spans="68:73" x14ac:dyDescent="0.25">
      <c r="BP2945" s="2"/>
      <c r="BQ2945" s="2"/>
      <c r="BR2945" s="2"/>
      <c r="BS2945" s="2"/>
      <c r="BT2945" s="2"/>
      <c r="BU2945" s="2"/>
    </row>
    <row r="2946" spans="68:73" x14ac:dyDescent="0.25">
      <c r="BP2946" s="2"/>
      <c r="BQ2946" s="2"/>
      <c r="BR2946" s="2"/>
      <c r="BS2946" s="2"/>
      <c r="BT2946" s="2"/>
      <c r="BU2946" s="2"/>
    </row>
    <row r="2947" spans="68:73" x14ac:dyDescent="0.25">
      <c r="BP2947" s="2"/>
      <c r="BQ2947" s="2"/>
      <c r="BR2947" s="2"/>
      <c r="BS2947" s="2"/>
      <c r="BT2947" s="2"/>
      <c r="BU2947" s="2"/>
    </row>
    <row r="2948" spans="68:73" x14ac:dyDescent="0.25">
      <c r="BP2948" s="2"/>
      <c r="BQ2948" s="2"/>
      <c r="BR2948" s="2"/>
      <c r="BS2948" s="2"/>
      <c r="BT2948" s="2"/>
      <c r="BU2948" s="2"/>
    </row>
    <row r="2949" spans="68:73" x14ac:dyDescent="0.25">
      <c r="BP2949" s="2"/>
      <c r="BQ2949" s="2"/>
      <c r="BR2949" s="2"/>
      <c r="BS2949" s="2"/>
      <c r="BT2949" s="2"/>
      <c r="BU2949" s="2"/>
    </row>
    <row r="2950" spans="68:73" x14ac:dyDescent="0.25">
      <c r="BP2950" s="2"/>
      <c r="BQ2950" s="2"/>
      <c r="BR2950" s="2"/>
      <c r="BS2950" s="2"/>
      <c r="BT2950" s="2"/>
      <c r="BU2950" s="2"/>
    </row>
    <row r="2951" spans="68:73" x14ac:dyDescent="0.25">
      <c r="BP2951" s="2"/>
      <c r="BQ2951" s="2"/>
      <c r="BR2951" s="2"/>
      <c r="BS2951" s="2"/>
      <c r="BT2951" s="2"/>
      <c r="BU2951" s="2"/>
    </row>
    <row r="2952" spans="68:73" x14ac:dyDescent="0.25">
      <c r="BP2952" s="2"/>
      <c r="BQ2952" s="2"/>
      <c r="BR2952" s="2"/>
      <c r="BS2952" s="2"/>
      <c r="BT2952" s="2"/>
      <c r="BU2952" s="2"/>
    </row>
    <row r="2953" spans="68:73" x14ac:dyDescent="0.25">
      <c r="BP2953" s="2"/>
      <c r="BQ2953" s="2"/>
      <c r="BR2953" s="2"/>
      <c r="BS2953" s="2"/>
      <c r="BT2953" s="2"/>
      <c r="BU2953" s="2"/>
    </row>
    <row r="2954" spans="68:73" x14ac:dyDescent="0.25">
      <c r="BP2954" s="2"/>
      <c r="BQ2954" s="2"/>
      <c r="BR2954" s="2"/>
      <c r="BS2954" s="2"/>
      <c r="BT2954" s="2"/>
      <c r="BU2954" s="2"/>
    </row>
    <row r="2955" spans="68:73" x14ac:dyDescent="0.25">
      <c r="BP2955" s="2"/>
      <c r="BQ2955" s="2"/>
      <c r="BR2955" s="2"/>
      <c r="BS2955" s="2"/>
      <c r="BT2955" s="2"/>
      <c r="BU2955" s="2"/>
    </row>
    <row r="2956" spans="68:73" x14ac:dyDescent="0.25">
      <c r="BP2956" s="2"/>
      <c r="BQ2956" s="2"/>
      <c r="BR2956" s="2"/>
      <c r="BS2956" s="2"/>
      <c r="BT2956" s="2"/>
      <c r="BU2956" s="2"/>
    </row>
    <row r="2957" spans="68:73" x14ac:dyDescent="0.25">
      <c r="BP2957" s="2"/>
      <c r="BQ2957" s="2"/>
      <c r="BR2957" s="2"/>
      <c r="BS2957" s="2"/>
      <c r="BT2957" s="2"/>
      <c r="BU2957" s="2"/>
    </row>
    <row r="2958" spans="68:73" x14ac:dyDescent="0.25">
      <c r="BP2958" s="2"/>
      <c r="BQ2958" s="2"/>
      <c r="BR2958" s="2"/>
      <c r="BS2958" s="2"/>
      <c r="BT2958" s="2"/>
      <c r="BU2958" s="2"/>
    </row>
    <row r="2959" spans="68:73" x14ac:dyDescent="0.25">
      <c r="BP2959" s="2"/>
      <c r="BQ2959" s="2"/>
      <c r="BR2959" s="2"/>
      <c r="BS2959" s="2"/>
      <c r="BT2959" s="2"/>
      <c r="BU2959" s="2"/>
    </row>
    <row r="2960" spans="68:73" x14ac:dyDescent="0.25">
      <c r="BP2960" s="2"/>
      <c r="BQ2960" s="2"/>
      <c r="BR2960" s="2"/>
      <c r="BS2960" s="2"/>
      <c r="BT2960" s="2"/>
      <c r="BU2960" s="2"/>
    </row>
    <row r="2961" spans="68:73" x14ac:dyDescent="0.25">
      <c r="BP2961" s="2"/>
      <c r="BQ2961" s="2"/>
      <c r="BR2961" s="2"/>
      <c r="BS2961" s="2"/>
      <c r="BT2961" s="2"/>
      <c r="BU2961" s="2"/>
    </row>
    <row r="2962" spans="68:73" x14ac:dyDescent="0.25">
      <c r="BP2962" s="2"/>
      <c r="BQ2962" s="2"/>
      <c r="BR2962" s="2"/>
      <c r="BS2962" s="2"/>
      <c r="BT2962" s="2"/>
      <c r="BU2962" s="2"/>
    </row>
    <row r="2963" spans="68:73" x14ac:dyDescent="0.25">
      <c r="BP2963" s="2"/>
      <c r="BQ2963" s="2"/>
      <c r="BR2963" s="2"/>
      <c r="BS2963" s="2"/>
      <c r="BT2963" s="2"/>
      <c r="BU2963" s="2"/>
    </row>
    <row r="2964" spans="68:73" x14ac:dyDescent="0.25">
      <c r="BP2964" s="2"/>
      <c r="BQ2964" s="2"/>
      <c r="BR2964" s="2"/>
      <c r="BS2964" s="2"/>
      <c r="BT2964" s="2"/>
      <c r="BU2964" s="2"/>
    </row>
    <row r="2965" spans="68:73" x14ac:dyDescent="0.25">
      <c r="BP2965" s="2"/>
      <c r="BQ2965" s="2"/>
      <c r="BR2965" s="2"/>
      <c r="BS2965" s="2"/>
      <c r="BT2965" s="2"/>
      <c r="BU2965" s="2"/>
    </row>
    <row r="2966" spans="68:73" x14ac:dyDescent="0.25">
      <c r="BP2966" s="2"/>
      <c r="BQ2966" s="2"/>
      <c r="BR2966" s="2"/>
      <c r="BS2966" s="2"/>
      <c r="BT2966" s="2"/>
      <c r="BU2966" s="2"/>
    </row>
    <row r="2967" spans="68:73" x14ac:dyDescent="0.25">
      <c r="BP2967" s="2"/>
      <c r="BQ2967" s="2"/>
      <c r="BR2967" s="2"/>
      <c r="BS2967" s="2"/>
      <c r="BT2967" s="2"/>
      <c r="BU2967" s="2"/>
    </row>
    <row r="2968" spans="68:73" x14ac:dyDescent="0.25">
      <c r="BP2968" s="2"/>
      <c r="BQ2968" s="2"/>
      <c r="BR2968" s="2"/>
      <c r="BS2968" s="2"/>
      <c r="BT2968" s="2"/>
      <c r="BU2968" s="2"/>
    </row>
    <row r="2969" spans="68:73" x14ac:dyDescent="0.25">
      <c r="BP2969" s="2"/>
      <c r="BQ2969" s="2"/>
      <c r="BR2969" s="2"/>
      <c r="BS2969" s="2"/>
      <c r="BT2969" s="2"/>
      <c r="BU2969" s="2"/>
    </row>
    <row r="2970" spans="68:73" x14ac:dyDescent="0.25">
      <c r="BP2970" s="2"/>
      <c r="BQ2970" s="2"/>
      <c r="BR2970" s="2"/>
      <c r="BS2970" s="2"/>
      <c r="BT2970" s="2"/>
      <c r="BU2970" s="2"/>
    </row>
    <row r="2971" spans="68:73" x14ac:dyDescent="0.25">
      <c r="BP2971" s="2"/>
      <c r="BQ2971" s="2"/>
      <c r="BR2971" s="2"/>
      <c r="BS2971" s="2"/>
      <c r="BT2971" s="2"/>
      <c r="BU2971" s="2"/>
    </row>
    <row r="2972" spans="68:73" x14ac:dyDescent="0.25">
      <c r="BP2972" s="2"/>
      <c r="BQ2972" s="2"/>
      <c r="BR2972" s="2"/>
      <c r="BS2972" s="2"/>
      <c r="BT2972" s="2"/>
      <c r="BU2972" s="2"/>
    </row>
    <row r="2973" spans="68:73" x14ac:dyDescent="0.25">
      <c r="BP2973" s="2"/>
      <c r="BQ2973" s="2"/>
      <c r="BR2973" s="2"/>
      <c r="BS2973" s="2"/>
      <c r="BT2973" s="2"/>
      <c r="BU2973" s="2"/>
    </row>
    <row r="2974" spans="68:73" x14ac:dyDescent="0.25">
      <c r="BP2974" s="2"/>
      <c r="BQ2974" s="2"/>
      <c r="BR2974" s="2"/>
      <c r="BS2974" s="2"/>
      <c r="BT2974" s="2"/>
      <c r="BU2974" s="2"/>
    </row>
    <row r="2975" spans="68:73" x14ac:dyDescent="0.25">
      <c r="BP2975" s="2"/>
      <c r="BQ2975" s="2"/>
      <c r="BR2975" s="2"/>
      <c r="BS2975" s="2"/>
      <c r="BT2975" s="2"/>
      <c r="BU2975" s="2"/>
    </row>
    <row r="2976" spans="68:73" x14ac:dyDescent="0.25">
      <c r="BP2976" s="2"/>
      <c r="BQ2976" s="2"/>
      <c r="BR2976" s="2"/>
      <c r="BS2976" s="2"/>
      <c r="BT2976" s="2"/>
      <c r="BU2976" s="2"/>
    </row>
    <row r="2977" spans="68:73" x14ac:dyDescent="0.25">
      <c r="BP2977" s="2"/>
      <c r="BQ2977" s="2"/>
      <c r="BR2977" s="2"/>
      <c r="BS2977" s="2"/>
      <c r="BT2977" s="2"/>
      <c r="BU2977" s="2"/>
    </row>
    <row r="2978" spans="68:73" x14ac:dyDescent="0.25">
      <c r="BP2978" s="2"/>
      <c r="BQ2978" s="2"/>
      <c r="BR2978" s="2"/>
      <c r="BS2978" s="2"/>
      <c r="BT2978" s="2"/>
      <c r="BU2978" s="2"/>
    </row>
    <row r="2979" spans="68:73" x14ac:dyDescent="0.25">
      <c r="BP2979" s="2"/>
      <c r="BQ2979" s="2"/>
      <c r="BR2979" s="2"/>
      <c r="BS2979" s="2"/>
      <c r="BT2979" s="2"/>
      <c r="BU2979" s="2"/>
    </row>
    <row r="2980" spans="68:73" x14ac:dyDescent="0.25">
      <c r="BP2980" s="2"/>
      <c r="BQ2980" s="2"/>
      <c r="BR2980" s="2"/>
      <c r="BS2980" s="2"/>
      <c r="BT2980" s="2"/>
      <c r="BU2980" s="2"/>
    </row>
    <row r="2981" spans="68:73" x14ac:dyDescent="0.25">
      <c r="BP2981" s="2"/>
      <c r="BQ2981" s="2"/>
      <c r="BR2981" s="2"/>
      <c r="BS2981" s="2"/>
      <c r="BT2981" s="2"/>
      <c r="BU2981" s="2"/>
    </row>
    <row r="2982" spans="68:73" x14ac:dyDescent="0.25">
      <c r="BP2982" s="2"/>
      <c r="BQ2982" s="2"/>
      <c r="BR2982" s="2"/>
      <c r="BS2982" s="2"/>
      <c r="BT2982" s="2"/>
      <c r="BU2982" s="2"/>
    </row>
    <row r="2983" spans="68:73" x14ac:dyDescent="0.25">
      <c r="BP2983" s="2"/>
      <c r="BQ2983" s="2"/>
      <c r="BR2983" s="2"/>
      <c r="BS2983" s="2"/>
      <c r="BT2983" s="2"/>
      <c r="BU2983" s="2"/>
    </row>
    <row r="2984" spans="68:73" x14ac:dyDescent="0.25">
      <c r="BP2984" s="2"/>
      <c r="BQ2984" s="2"/>
      <c r="BR2984" s="2"/>
      <c r="BS2984" s="2"/>
      <c r="BT2984" s="2"/>
      <c r="BU2984" s="2"/>
    </row>
    <row r="2985" spans="68:73" x14ac:dyDescent="0.25">
      <c r="BP2985" s="2"/>
      <c r="BQ2985" s="2"/>
      <c r="BR2985" s="2"/>
      <c r="BS2985" s="2"/>
      <c r="BT2985" s="2"/>
      <c r="BU2985" s="2"/>
    </row>
    <row r="2986" spans="68:73" x14ac:dyDescent="0.25">
      <c r="BP2986" s="2"/>
      <c r="BQ2986" s="2"/>
      <c r="BR2986" s="2"/>
      <c r="BS2986" s="2"/>
      <c r="BT2986" s="2"/>
      <c r="BU2986" s="2"/>
    </row>
    <row r="2987" spans="68:73" x14ac:dyDescent="0.25">
      <c r="BP2987" s="2"/>
      <c r="BQ2987" s="2"/>
      <c r="BR2987" s="2"/>
      <c r="BS2987" s="2"/>
      <c r="BT2987" s="2"/>
      <c r="BU2987" s="2"/>
    </row>
    <row r="2988" spans="68:73" x14ac:dyDescent="0.25">
      <c r="BP2988" s="2"/>
      <c r="BQ2988" s="2"/>
      <c r="BR2988" s="2"/>
      <c r="BS2988" s="2"/>
      <c r="BT2988" s="2"/>
      <c r="BU2988" s="2"/>
    </row>
    <row r="2989" spans="68:73" x14ac:dyDescent="0.25">
      <c r="BP2989" s="2"/>
      <c r="BQ2989" s="2"/>
      <c r="BR2989" s="2"/>
      <c r="BS2989" s="2"/>
      <c r="BT2989" s="2"/>
      <c r="BU2989" s="2"/>
    </row>
    <row r="2990" spans="68:73" x14ac:dyDescent="0.25">
      <c r="BP2990" s="2"/>
      <c r="BQ2990" s="2"/>
      <c r="BR2990" s="2"/>
      <c r="BS2990" s="2"/>
      <c r="BT2990" s="2"/>
      <c r="BU2990" s="2"/>
    </row>
    <row r="2991" spans="68:73" x14ac:dyDescent="0.25">
      <c r="BP2991" s="2"/>
      <c r="BQ2991" s="2"/>
      <c r="BR2991" s="2"/>
      <c r="BS2991" s="2"/>
      <c r="BT2991" s="2"/>
      <c r="BU2991" s="2"/>
    </row>
    <row r="2992" spans="68:73" x14ac:dyDescent="0.25">
      <c r="BP2992" s="2"/>
      <c r="BQ2992" s="2"/>
      <c r="BR2992" s="2"/>
      <c r="BS2992" s="2"/>
      <c r="BT2992" s="2"/>
      <c r="BU2992" s="2"/>
    </row>
    <row r="2993" spans="68:73" x14ac:dyDescent="0.25">
      <c r="BP2993" s="2"/>
      <c r="BQ2993" s="2"/>
      <c r="BR2993" s="2"/>
      <c r="BS2993" s="2"/>
      <c r="BT2993" s="2"/>
      <c r="BU2993" s="2"/>
    </row>
    <row r="2994" spans="68:73" x14ac:dyDescent="0.25">
      <c r="BP2994" s="2"/>
      <c r="BQ2994" s="2"/>
      <c r="BR2994" s="2"/>
      <c r="BS2994" s="2"/>
      <c r="BT2994" s="2"/>
      <c r="BU2994" s="2"/>
    </row>
    <row r="2995" spans="68:73" x14ac:dyDescent="0.25">
      <c r="BP2995" s="2"/>
      <c r="BQ2995" s="2"/>
      <c r="BR2995" s="2"/>
      <c r="BS2995" s="2"/>
      <c r="BT2995" s="2"/>
      <c r="BU2995" s="2"/>
    </row>
    <row r="2996" spans="68:73" x14ac:dyDescent="0.25">
      <c r="BP2996" s="2"/>
      <c r="BQ2996" s="2"/>
      <c r="BR2996" s="2"/>
      <c r="BS2996" s="2"/>
      <c r="BT2996" s="2"/>
      <c r="BU2996" s="2"/>
    </row>
    <row r="2997" spans="68:73" x14ac:dyDescent="0.25">
      <c r="BP2997" s="2"/>
      <c r="BQ2997" s="2"/>
      <c r="BR2997" s="2"/>
      <c r="BS2997" s="2"/>
      <c r="BT2997" s="2"/>
      <c r="BU2997" s="2"/>
    </row>
    <row r="2998" spans="68:73" x14ac:dyDescent="0.25">
      <c r="BP2998" s="2"/>
      <c r="BQ2998" s="2"/>
      <c r="BR2998" s="2"/>
      <c r="BS2998" s="2"/>
      <c r="BT2998" s="2"/>
      <c r="BU2998" s="2"/>
    </row>
    <row r="2999" spans="68:73" x14ac:dyDescent="0.25">
      <c r="BP2999" s="2"/>
      <c r="BQ2999" s="2"/>
      <c r="BR2999" s="2"/>
      <c r="BS2999" s="2"/>
      <c r="BT2999" s="2"/>
      <c r="BU2999" s="2"/>
    </row>
    <row r="3000" spans="68:73" x14ac:dyDescent="0.25">
      <c r="BP3000" s="2"/>
      <c r="BQ3000" s="2"/>
      <c r="BR3000" s="2"/>
      <c r="BS3000" s="2"/>
      <c r="BT3000" s="2"/>
      <c r="BU3000" s="2"/>
    </row>
    <row r="3001" spans="68:73" x14ac:dyDescent="0.25">
      <c r="BP3001" s="2"/>
      <c r="BQ3001" s="2"/>
      <c r="BR3001" s="2"/>
      <c r="BS3001" s="2"/>
      <c r="BT3001" s="2"/>
      <c r="BU3001" s="2"/>
    </row>
    <row r="3002" spans="68:73" x14ac:dyDescent="0.25">
      <c r="BP3002" s="2"/>
      <c r="BQ3002" s="2"/>
      <c r="BR3002" s="2"/>
      <c r="BS3002" s="2"/>
      <c r="BT3002" s="2"/>
      <c r="BU3002" s="2"/>
    </row>
    <row r="3003" spans="68:73" x14ac:dyDescent="0.25">
      <c r="BP3003" s="2"/>
      <c r="BQ3003" s="2"/>
      <c r="BR3003" s="2"/>
      <c r="BS3003" s="2"/>
      <c r="BT3003" s="2"/>
      <c r="BU3003" s="2"/>
    </row>
    <row r="3004" spans="68:73" x14ac:dyDescent="0.25">
      <c r="BP3004" s="2"/>
      <c r="BQ3004" s="2"/>
      <c r="BR3004" s="2"/>
      <c r="BS3004" s="2"/>
      <c r="BT3004" s="2"/>
      <c r="BU3004" s="2"/>
    </row>
    <row r="3005" spans="68:73" x14ac:dyDescent="0.25">
      <c r="BP3005" s="2"/>
      <c r="BQ3005" s="2"/>
      <c r="BR3005" s="2"/>
      <c r="BS3005" s="2"/>
      <c r="BT3005" s="2"/>
      <c r="BU3005" s="2"/>
    </row>
    <row r="3006" spans="68:73" x14ac:dyDescent="0.25">
      <c r="BP3006" s="2"/>
      <c r="BQ3006" s="2"/>
      <c r="BR3006" s="2"/>
      <c r="BS3006" s="2"/>
      <c r="BT3006" s="2"/>
      <c r="BU3006" s="2"/>
    </row>
    <row r="3007" spans="68:73" x14ac:dyDescent="0.25">
      <c r="BP3007" s="2"/>
      <c r="BQ3007" s="2"/>
      <c r="BR3007" s="2"/>
      <c r="BS3007" s="2"/>
      <c r="BT3007" s="2"/>
      <c r="BU3007" s="2"/>
    </row>
    <row r="3008" spans="68:73" x14ac:dyDescent="0.25">
      <c r="BP3008" s="2"/>
      <c r="BQ3008" s="2"/>
      <c r="BR3008" s="2"/>
      <c r="BS3008" s="2"/>
      <c r="BT3008" s="2"/>
      <c r="BU3008" s="2"/>
    </row>
    <row r="3009" spans="68:73" x14ac:dyDescent="0.25">
      <c r="BP3009" s="2"/>
      <c r="BQ3009" s="2"/>
      <c r="BR3009" s="2"/>
      <c r="BS3009" s="2"/>
      <c r="BT3009" s="2"/>
      <c r="BU3009" s="2"/>
    </row>
    <row r="3010" spans="68:73" x14ac:dyDescent="0.25">
      <c r="BP3010" s="2"/>
      <c r="BQ3010" s="2"/>
      <c r="BR3010" s="2"/>
      <c r="BS3010" s="2"/>
      <c r="BT3010" s="2"/>
      <c r="BU3010" s="2"/>
    </row>
    <row r="3011" spans="68:73" x14ac:dyDescent="0.25">
      <c r="BP3011" s="2"/>
      <c r="BQ3011" s="2"/>
      <c r="BR3011" s="2"/>
      <c r="BS3011" s="2"/>
      <c r="BT3011" s="2"/>
      <c r="BU3011" s="2"/>
    </row>
    <row r="3012" spans="68:73" x14ac:dyDescent="0.25">
      <c r="BP3012" s="2"/>
      <c r="BQ3012" s="2"/>
      <c r="BR3012" s="2"/>
      <c r="BS3012" s="2"/>
      <c r="BT3012" s="2"/>
      <c r="BU3012" s="2"/>
    </row>
    <row r="3013" spans="68:73" x14ac:dyDescent="0.25">
      <c r="BP3013" s="2"/>
      <c r="BQ3013" s="2"/>
      <c r="BR3013" s="2"/>
      <c r="BS3013" s="2"/>
      <c r="BT3013" s="2"/>
      <c r="BU3013" s="2"/>
    </row>
    <row r="3014" spans="68:73" x14ac:dyDescent="0.25">
      <c r="BP3014" s="2"/>
      <c r="BQ3014" s="2"/>
      <c r="BR3014" s="2"/>
      <c r="BS3014" s="2"/>
      <c r="BT3014" s="2"/>
      <c r="BU3014" s="2"/>
    </row>
    <row r="3015" spans="68:73" x14ac:dyDescent="0.25">
      <c r="BP3015" s="2"/>
      <c r="BQ3015" s="2"/>
      <c r="BR3015" s="2"/>
      <c r="BS3015" s="2"/>
      <c r="BT3015" s="2"/>
      <c r="BU3015" s="2"/>
    </row>
    <row r="3016" spans="68:73" x14ac:dyDescent="0.25">
      <c r="BP3016" s="2"/>
      <c r="BQ3016" s="2"/>
      <c r="BR3016" s="2"/>
      <c r="BS3016" s="2"/>
      <c r="BT3016" s="2"/>
      <c r="BU3016" s="2"/>
    </row>
    <row r="3017" spans="68:73" x14ac:dyDescent="0.25">
      <c r="BP3017" s="2"/>
      <c r="BQ3017" s="2"/>
      <c r="BR3017" s="2"/>
      <c r="BS3017" s="2"/>
      <c r="BT3017" s="2"/>
      <c r="BU3017" s="2"/>
    </row>
    <row r="3018" spans="68:73" x14ac:dyDescent="0.25">
      <c r="BP3018" s="2"/>
      <c r="BQ3018" s="2"/>
      <c r="BR3018" s="2"/>
      <c r="BS3018" s="2"/>
      <c r="BT3018" s="2"/>
      <c r="BU3018" s="2"/>
    </row>
    <row r="3019" spans="68:73" x14ac:dyDescent="0.25">
      <c r="BP3019" s="2"/>
      <c r="BQ3019" s="2"/>
      <c r="BR3019" s="2"/>
      <c r="BS3019" s="2"/>
      <c r="BT3019" s="2"/>
      <c r="BU3019" s="2"/>
    </row>
    <row r="3020" spans="68:73" x14ac:dyDescent="0.25">
      <c r="BP3020" s="2"/>
      <c r="BQ3020" s="2"/>
      <c r="BR3020" s="2"/>
      <c r="BS3020" s="2"/>
      <c r="BT3020" s="2"/>
      <c r="BU3020" s="2"/>
    </row>
    <row r="3021" spans="68:73" x14ac:dyDescent="0.25">
      <c r="BP3021" s="2"/>
      <c r="BQ3021" s="2"/>
      <c r="BR3021" s="2"/>
      <c r="BS3021" s="2"/>
      <c r="BT3021" s="2"/>
      <c r="BU3021" s="2"/>
    </row>
    <row r="3022" spans="68:73" x14ac:dyDescent="0.25">
      <c r="BP3022" s="2"/>
      <c r="BQ3022" s="2"/>
      <c r="BR3022" s="2"/>
      <c r="BS3022" s="2"/>
      <c r="BT3022" s="2"/>
      <c r="BU3022" s="2"/>
    </row>
    <row r="3023" spans="68:73" x14ac:dyDescent="0.25">
      <c r="BP3023" s="2"/>
      <c r="BQ3023" s="2"/>
      <c r="BR3023" s="2"/>
      <c r="BS3023" s="2"/>
      <c r="BT3023" s="2"/>
      <c r="BU3023" s="2"/>
    </row>
    <row r="3024" spans="68:73" x14ac:dyDescent="0.25">
      <c r="BP3024" s="2"/>
      <c r="BQ3024" s="2"/>
      <c r="BR3024" s="2"/>
      <c r="BS3024" s="2"/>
      <c r="BT3024" s="2"/>
      <c r="BU3024" s="2"/>
    </row>
    <row r="3025" spans="68:73" x14ac:dyDescent="0.25">
      <c r="BP3025" s="2"/>
      <c r="BQ3025" s="2"/>
      <c r="BR3025" s="2"/>
      <c r="BS3025" s="2"/>
      <c r="BT3025" s="2"/>
      <c r="BU3025" s="2"/>
    </row>
    <row r="3026" spans="68:73" x14ac:dyDescent="0.25">
      <c r="BP3026" s="2"/>
      <c r="BQ3026" s="2"/>
      <c r="BR3026" s="2"/>
      <c r="BS3026" s="2"/>
      <c r="BT3026" s="2"/>
      <c r="BU3026" s="2"/>
    </row>
    <row r="3027" spans="68:73" x14ac:dyDescent="0.25">
      <c r="BP3027" s="2"/>
      <c r="BQ3027" s="2"/>
      <c r="BR3027" s="2"/>
      <c r="BS3027" s="2"/>
      <c r="BT3027" s="2"/>
      <c r="BU3027" s="2"/>
    </row>
    <row r="3028" spans="68:73" x14ac:dyDescent="0.25">
      <c r="BP3028" s="2"/>
      <c r="BQ3028" s="2"/>
      <c r="BR3028" s="2"/>
      <c r="BS3028" s="2"/>
      <c r="BT3028" s="2"/>
      <c r="BU3028" s="2"/>
    </row>
    <row r="3029" spans="68:73" x14ac:dyDescent="0.25">
      <c r="BP3029" s="2"/>
      <c r="BQ3029" s="2"/>
      <c r="BR3029" s="2"/>
      <c r="BS3029" s="2"/>
      <c r="BT3029" s="2"/>
      <c r="BU3029" s="2"/>
    </row>
    <row r="3030" spans="68:73" x14ac:dyDescent="0.25">
      <c r="BP3030" s="2"/>
      <c r="BQ3030" s="2"/>
      <c r="BR3030" s="2"/>
      <c r="BS3030" s="2"/>
      <c r="BT3030" s="2"/>
      <c r="BU3030" s="2"/>
    </row>
    <row r="3031" spans="68:73" x14ac:dyDescent="0.25">
      <c r="BP3031" s="2"/>
      <c r="BQ3031" s="2"/>
      <c r="BR3031" s="2"/>
      <c r="BS3031" s="2"/>
      <c r="BT3031" s="2"/>
      <c r="BU3031" s="2"/>
    </row>
    <row r="3032" spans="68:73" x14ac:dyDescent="0.25">
      <c r="BP3032" s="2"/>
      <c r="BQ3032" s="2"/>
      <c r="BR3032" s="2"/>
      <c r="BS3032" s="2"/>
      <c r="BT3032" s="2"/>
      <c r="BU3032" s="2"/>
    </row>
    <row r="3033" spans="68:73" x14ac:dyDescent="0.25">
      <c r="BP3033" s="2"/>
      <c r="BQ3033" s="2"/>
      <c r="BR3033" s="2"/>
      <c r="BS3033" s="2"/>
      <c r="BT3033" s="2"/>
      <c r="BU3033" s="2"/>
    </row>
    <row r="3034" spans="68:73" x14ac:dyDescent="0.25">
      <c r="BP3034" s="2"/>
      <c r="BQ3034" s="2"/>
      <c r="BR3034" s="2"/>
      <c r="BS3034" s="2"/>
      <c r="BT3034" s="2"/>
      <c r="BU3034" s="2"/>
    </row>
    <row r="3035" spans="68:73" x14ac:dyDescent="0.25">
      <c r="BP3035" s="2"/>
      <c r="BQ3035" s="2"/>
      <c r="BR3035" s="2"/>
      <c r="BS3035" s="2"/>
      <c r="BT3035" s="2"/>
      <c r="BU3035" s="2"/>
    </row>
    <row r="3036" spans="68:73" x14ac:dyDescent="0.25">
      <c r="BP3036" s="2"/>
      <c r="BQ3036" s="2"/>
      <c r="BR3036" s="2"/>
      <c r="BS3036" s="2"/>
      <c r="BT3036" s="2"/>
      <c r="BU3036" s="2"/>
    </row>
    <row r="3037" spans="68:73" x14ac:dyDescent="0.25">
      <c r="BP3037" s="2"/>
      <c r="BQ3037" s="2"/>
      <c r="BR3037" s="2"/>
      <c r="BS3037" s="2"/>
      <c r="BT3037" s="2"/>
      <c r="BU3037" s="2"/>
    </row>
    <row r="3038" spans="68:73" x14ac:dyDescent="0.25">
      <c r="BP3038" s="2"/>
      <c r="BQ3038" s="2"/>
      <c r="BR3038" s="2"/>
      <c r="BS3038" s="2"/>
      <c r="BT3038" s="2"/>
      <c r="BU3038" s="2"/>
    </row>
    <row r="3039" spans="68:73" x14ac:dyDescent="0.25">
      <c r="BP3039" s="2"/>
      <c r="BQ3039" s="2"/>
      <c r="BR3039" s="2"/>
      <c r="BS3039" s="2"/>
      <c r="BT3039" s="2"/>
      <c r="BU3039" s="2"/>
    </row>
    <row r="3040" spans="68:73" x14ac:dyDescent="0.25">
      <c r="BP3040" s="2"/>
      <c r="BQ3040" s="2"/>
      <c r="BR3040" s="2"/>
      <c r="BS3040" s="2"/>
      <c r="BT3040" s="2"/>
      <c r="BU3040" s="2"/>
    </row>
    <row r="3041" spans="68:73" x14ac:dyDescent="0.25">
      <c r="BP3041" s="2"/>
      <c r="BQ3041" s="2"/>
      <c r="BR3041" s="2"/>
      <c r="BS3041" s="2"/>
      <c r="BT3041" s="2"/>
      <c r="BU3041" s="2"/>
    </row>
    <row r="3042" spans="68:73" x14ac:dyDescent="0.25">
      <c r="BP3042" s="2"/>
      <c r="BQ3042" s="2"/>
      <c r="BR3042" s="2"/>
      <c r="BS3042" s="2"/>
      <c r="BT3042" s="2"/>
      <c r="BU3042" s="2"/>
    </row>
    <row r="3043" spans="68:73" x14ac:dyDescent="0.25">
      <c r="BP3043" s="2"/>
      <c r="BQ3043" s="2"/>
      <c r="BR3043" s="2"/>
      <c r="BS3043" s="2"/>
      <c r="BT3043" s="2"/>
      <c r="BU3043" s="2"/>
    </row>
    <row r="3044" spans="68:73" x14ac:dyDescent="0.25">
      <c r="BP3044" s="2"/>
      <c r="BQ3044" s="2"/>
      <c r="BR3044" s="2"/>
      <c r="BS3044" s="2"/>
      <c r="BT3044" s="2"/>
      <c r="BU3044" s="2"/>
    </row>
    <row r="3045" spans="68:73" x14ac:dyDescent="0.25">
      <c r="BP3045" s="2"/>
      <c r="BQ3045" s="2"/>
      <c r="BR3045" s="2"/>
      <c r="BS3045" s="2"/>
      <c r="BT3045" s="2"/>
      <c r="BU3045" s="2"/>
    </row>
    <row r="3046" spans="68:73" x14ac:dyDescent="0.25">
      <c r="BP3046" s="2"/>
      <c r="BQ3046" s="2"/>
      <c r="BR3046" s="2"/>
      <c r="BS3046" s="2"/>
      <c r="BT3046" s="2"/>
      <c r="BU3046" s="2"/>
    </row>
    <row r="3047" spans="68:73" x14ac:dyDescent="0.25">
      <c r="BP3047" s="2"/>
      <c r="BQ3047" s="2"/>
      <c r="BR3047" s="2"/>
      <c r="BS3047" s="2"/>
      <c r="BT3047" s="2"/>
      <c r="BU3047" s="2"/>
    </row>
    <row r="3048" spans="68:73" x14ac:dyDescent="0.25">
      <c r="BP3048" s="2"/>
      <c r="BQ3048" s="2"/>
      <c r="BR3048" s="2"/>
      <c r="BS3048" s="2"/>
      <c r="BT3048" s="2"/>
      <c r="BU3048" s="2"/>
    </row>
    <row r="3049" spans="68:73" x14ac:dyDescent="0.25">
      <c r="BP3049" s="2"/>
      <c r="BQ3049" s="2"/>
      <c r="BR3049" s="2"/>
      <c r="BS3049" s="2"/>
      <c r="BT3049" s="2"/>
      <c r="BU3049" s="2"/>
    </row>
    <row r="3050" spans="68:73" x14ac:dyDescent="0.25">
      <c r="BP3050" s="2"/>
      <c r="BQ3050" s="2"/>
      <c r="BR3050" s="2"/>
      <c r="BS3050" s="2"/>
      <c r="BT3050" s="2"/>
      <c r="BU3050" s="2"/>
    </row>
    <row r="3051" spans="68:73" x14ac:dyDescent="0.25">
      <c r="BP3051" s="2"/>
      <c r="BQ3051" s="2"/>
      <c r="BR3051" s="2"/>
      <c r="BS3051" s="2"/>
      <c r="BT3051" s="2"/>
      <c r="BU3051" s="2"/>
    </row>
    <row r="3052" spans="68:73" x14ac:dyDescent="0.25">
      <c r="BP3052" s="2"/>
      <c r="BQ3052" s="2"/>
      <c r="BR3052" s="2"/>
      <c r="BS3052" s="2"/>
      <c r="BT3052" s="2"/>
      <c r="BU3052" s="2"/>
    </row>
    <row r="3053" spans="68:73" x14ac:dyDescent="0.25">
      <c r="BP3053" s="2"/>
      <c r="BQ3053" s="2"/>
      <c r="BR3053" s="2"/>
      <c r="BS3053" s="2"/>
      <c r="BT3053" s="2"/>
      <c r="BU3053" s="2"/>
    </row>
    <row r="3054" spans="68:73" x14ac:dyDescent="0.25">
      <c r="BP3054" s="2"/>
      <c r="BQ3054" s="2"/>
      <c r="BR3054" s="2"/>
      <c r="BS3054" s="2"/>
      <c r="BT3054" s="2"/>
      <c r="BU3054" s="2"/>
    </row>
    <row r="3055" spans="68:73" x14ac:dyDescent="0.25">
      <c r="BP3055" s="2"/>
      <c r="BQ3055" s="2"/>
      <c r="BR3055" s="2"/>
      <c r="BS3055" s="2"/>
      <c r="BT3055" s="2"/>
      <c r="BU3055" s="2"/>
    </row>
    <row r="3056" spans="68:73" x14ac:dyDescent="0.25">
      <c r="BP3056" s="2"/>
      <c r="BQ3056" s="2"/>
      <c r="BR3056" s="2"/>
      <c r="BS3056" s="2"/>
      <c r="BT3056" s="2"/>
      <c r="BU3056" s="2"/>
    </row>
    <row r="3057" spans="68:73" x14ac:dyDescent="0.25">
      <c r="BP3057" s="2"/>
      <c r="BQ3057" s="2"/>
      <c r="BR3057" s="2"/>
      <c r="BS3057" s="2"/>
      <c r="BT3057" s="2"/>
      <c r="BU3057" s="2"/>
    </row>
    <row r="3058" spans="68:73" x14ac:dyDescent="0.25">
      <c r="BP3058" s="2"/>
      <c r="BQ3058" s="2"/>
      <c r="BR3058" s="2"/>
      <c r="BS3058" s="2"/>
      <c r="BT3058" s="2"/>
      <c r="BU3058" s="2"/>
    </row>
    <row r="3059" spans="68:73" x14ac:dyDescent="0.25">
      <c r="BP3059" s="2"/>
      <c r="BQ3059" s="2"/>
      <c r="BR3059" s="2"/>
      <c r="BS3059" s="2"/>
      <c r="BT3059" s="2"/>
      <c r="BU3059" s="2"/>
    </row>
    <row r="3060" spans="68:73" x14ac:dyDescent="0.25">
      <c r="BP3060" s="2"/>
      <c r="BQ3060" s="2"/>
      <c r="BR3060" s="2"/>
      <c r="BS3060" s="2"/>
      <c r="BT3060" s="2"/>
      <c r="BU3060" s="2"/>
    </row>
    <row r="3061" spans="68:73" x14ac:dyDescent="0.25">
      <c r="BP3061" s="2"/>
      <c r="BQ3061" s="2"/>
      <c r="BR3061" s="2"/>
      <c r="BS3061" s="2"/>
      <c r="BT3061" s="2"/>
      <c r="BU3061" s="2"/>
    </row>
    <row r="3062" spans="68:73" x14ac:dyDescent="0.25">
      <c r="BP3062" s="2"/>
      <c r="BQ3062" s="2"/>
      <c r="BR3062" s="2"/>
      <c r="BS3062" s="2"/>
      <c r="BT3062" s="2"/>
      <c r="BU3062" s="2"/>
    </row>
    <row r="3063" spans="68:73" x14ac:dyDescent="0.25">
      <c r="BP3063" s="2"/>
      <c r="BQ3063" s="2"/>
      <c r="BR3063" s="2"/>
      <c r="BS3063" s="2"/>
      <c r="BT3063" s="2"/>
      <c r="BU3063" s="2"/>
    </row>
    <row r="3064" spans="68:73" x14ac:dyDescent="0.25">
      <c r="BP3064" s="2"/>
      <c r="BQ3064" s="2"/>
      <c r="BR3064" s="2"/>
      <c r="BS3064" s="2"/>
      <c r="BT3064" s="2"/>
      <c r="BU3064" s="2"/>
    </row>
    <row r="3065" spans="68:73" x14ac:dyDescent="0.25">
      <c r="BP3065" s="2"/>
      <c r="BQ3065" s="2"/>
      <c r="BR3065" s="2"/>
      <c r="BS3065" s="2"/>
      <c r="BT3065" s="2"/>
      <c r="BU3065" s="2"/>
    </row>
    <row r="3066" spans="68:73" x14ac:dyDescent="0.25">
      <c r="BP3066" s="2"/>
      <c r="BQ3066" s="2"/>
      <c r="BR3066" s="2"/>
      <c r="BS3066" s="2"/>
      <c r="BT3066" s="2"/>
      <c r="BU3066" s="2"/>
    </row>
    <row r="3067" spans="68:73" x14ac:dyDescent="0.25">
      <c r="BP3067" s="2"/>
      <c r="BQ3067" s="2"/>
      <c r="BR3067" s="2"/>
      <c r="BS3067" s="2"/>
      <c r="BT3067" s="2"/>
      <c r="BU3067" s="2"/>
    </row>
  </sheetData>
  <mergeCells count="9">
    <mergeCell ref="F1:K1"/>
    <mergeCell ref="T1:Y1"/>
    <mergeCell ref="BV1:BV2"/>
    <mergeCell ref="BW1:BW2"/>
    <mergeCell ref="BX1:BX2"/>
    <mergeCell ref="AH1:AM1"/>
    <mergeCell ref="AV1:BA1"/>
    <mergeCell ref="BP1:BU1"/>
    <mergeCell ref="BI1:B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75B-A6CF-4BB0-AF5C-A80D476D6FEC}">
  <dimension ref="A1:BV21"/>
  <sheetViews>
    <sheetView workbookViewId="0">
      <selection activeCell="L26" sqref="L26"/>
    </sheetView>
  </sheetViews>
  <sheetFormatPr defaultRowHeight="15" x14ac:dyDescent="0.25"/>
  <cols>
    <col min="1" max="1" width="28.7109375" bestFit="1" customWidth="1"/>
    <col min="2" max="2" width="4.42578125" bestFit="1" customWidth="1"/>
    <col min="3" max="3" width="2.42578125" bestFit="1" customWidth="1"/>
    <col min="4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4257812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21" width="2.140625" bestFit="1" customWidth="1"/>
    <col min="22" max="22" width="2" bestFit="1" customWidth="1"/>
    <col min="23" max="23" width="4.42578125" bestFit="1" customWidth="1"/>
    <col min="24" max="28" width="4.28515625" customWidth="1"/>
    <col min="29" max="29" width="4.28515625" bestFit="1" customWidth="1"/>
    <col min="30" max="30" width="4.42578125" bestFit="1" customWidth="1"/>
    <col min="31" max="31" width="2.42578125" bestFit="1" customWidth="1"/>
    <col min="32" max="35" width="2.140625" bestFit="1" customWidth="1"/>
    <col min="36" max="36" width="2" bestFit="1" customWidth="1"/>
    <col min="37" max="37" width="4.42578125" bestFit="1" customWidth="1"/>
    <col min="38" max="42" width="3.85546875" customWidth="1"/>
    <col min="43" max="43" width="4.28515625" bestFit="1" customWidth="1"/>
    <col min="44" max="44" width="4.42578125" bestFit="1" customWidth="1"/>
    <col min="45" max="45" width="2.42578125" bestFit="1" customWidth="1"/>
    <col min="46" max="49" width="2.140625" bestFit="1" customWidth="1"/>
    <col min="50" max="50" width="2" bestFit="1" customWidth="1"/>
    <col min="51" max="51" width="4.42578125" bestFit="1" customWidth="1"/>
    <col min="52" max="56" width="4.42578125" customWidth="1"/>
    <col min="57" max="57" width="4.28515625" bestFit="1" customWidth="1"/>
    <col min="58" max="58" width="4.42578125" bestFit="1" customWidth="1"/>
    <col min="59" max="59" width="2.42578125" bestFit="1" customWidth="1"/>
    <col min="60" max="63" width="2.140625" bestFit="1" customWidth="1"/>
    <col min="64" max="64" width="2" bestFit="1" customWidth="1"/>
    <col min="65" max="65" width="4.42578125" bestFit="1" customWidth="1"/>
    <col min="66" max="71" width="3" bestFit="1" customWidth="1"/>
    <col min="72" max="72" width="12.5703125" bestFit="1" customWidth="1"/>
    <col min="73" max="73" width="12.7109375" bestFit="1" customWidth="1"/>
    <col min="74" max="74" width="4.140625" bestFit="1" customWidth="1"/>
  </cols>
  <sheetData>
    <row r="1" spans="1:74" ht="15.75" thickBot="1" x14ac:dyDescent="0.3">
      <c r="A1" s="6" t="s">
        <v>0</v>
      </c>
      <c r="B1" s="8" t="s">
        <v>3</v>
      </c>
      <c r="C1" s="77" t="s">
        <v>4</v>
      </c>
      <c r="D1" s="78"/>
      <c r="E1" s="78"/>
      <c r="F1" s="78"/>
      <c r="G1" s="78"/>
      <c r="H1" s="79"/>
      <c r="I1" s="9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</v>
      </c>
      <c r="O1" s="8" t="s">
        <v>2</v>
      </c>
      <c r="P1" s="8" t="s">
        <v>3</v>
      </c>
      <c r="Q1" s="80" t="s">
        <v>4</v>
      </c>
      <c r="R1" s="80"/>
      <c r="S1" s="80"/>
      <c r="T1" s="80"/>
      <c r="U1" s="80"/>
      <c r="V1" s="80"/>
      <c r="W1" s="9" t="s">
        <v>5</v>
      </c>
      <c r="X1" s="7" t="s">
        <v>6</v>
      </c>
      <c r="Y1" s="7" t="s">
        <v>7</v>
      </c>
      <c r="Z1" s="7" t="s">
        <v>8</v>
      </c>
      <c r="AA1" s="7" t="s">
        <v>9</v>
      </c>
      <c r="AB1" s="7" t="s">
        <v>1</v>
      </c>
      <c r="AC1" s="8" t="s">
        <v>2</v>
      </c>
      <c r="AD1" s="8" t="s">
        <v>3</v>
      </c>
      <c r="AE1" s="80" t="s">
        <v>4</v>
      </c>
      <c r="AF1" s="80"/>
      <c r="AG1" s="80"/>
      <c r="AH1" s="80"/>
      <c r="AI1" s="80"/>
      <c r="AJ1" s="80"/>
      <c r="AK1" s="9" t="s">
        <v>5</v>
      </c>
      <c r="AL1" s="7" t="s">
        <v>6</v>
      </c>
      <c r="AM1" s="7" t="s">
        <v>7</v>
      </c>
      <c r="AN1" s="7" t="s">
        <v>8</v>
      </c>
      <c r="AO1" s="7" t="s">
        <v>9</v>
      </c>
      <c r="AP1" s="7" t="s">
        <v>1</v>
      </c>
      <c r="AQ1" s="8" t="s">
        <v>2</v>
      </c>
      <c r="AR1" s="8" t="s">
        <v>3</v>
      </c>
      <c r="AS1" s="80" t="s">
        <v>4</v>
      </c>
      <c r="AT1" s="80"/>
      <c r="AU1" s="80"/>
      <c r="AV1" s="80"/>
      <c r="AW1" s="80"/>
      <c r="AX1" s="80"/>
      <c r="AY1" s="9" t="s">
        <v>5</v>
      </c>
      <c r="AZ1" s="7" t="s">
        <v>6</v>
      </c>
      <c r="BA1" s="7" t="s">
        <v>7</v>
      </c>
      <c r="BB1" s="7" t="s">
        <v>8</v>
      </c>
      <c r="BC1" s="7" t="s">
        <v>9</v>
      </c>
      <c r="BD1" s="7" t="s">
        <v>1</v>
      </c>
      <c r="BE1" s="8" t="s">
        <v>2</v>
      </c>
      <c r="BF1" s="8" t="s">
        <v>3</v>
      </c>
      <c r="BG1" s="80" t="s">
        <v>4</v>
      </c>
      <c r="BH1" s="80"/>
      <c r="BI1" s="80"/>
      <c r="BJ1" s="80"/>
      <c r="BK1" s="80"/>
      <c r="BL1" s="80"/>
      <c r="BM1" s="9" t="s">
        <v>5</v>
      </c>
      <c r="BN1" s="87" t="s">
        <v>4</v>
      </c>
      <c r="BO1" s="88"/>
      <c r="BP1" s="88"/>
      <c r="BQ1" s="88"/>
      <c r="BR1" s="88"/>
      <c r="BS1" s="89"/>
      <c r="BT1" s="81" t="s">
        <v>10</v>
      </c>
      <c r="BU1" s="83" t="s">
        <v>11</v>
      </c>
      <c r="BV1" s="85" t="s">
        <v>12</v>
      </c>
    </row>
    <row r="2" spans="1:74" ht="15.75" thickBot="1" x14ac:dyDescent="0.3">
      <c r="A2" s="10" t="s">
        <v>26</v>
      </c>
      <c r="B2" s="12">
        <v>1</v>
      </c>
      <c r="C2" s="13" t="s">
        <v>13</v>
      </c>
      <c r="D2" s="13" t="s">
        <v>14</v>
      </c>
      <c r="E2" s="13" t="s">
        <v>16</v>
      </c>
      <c r="F2" s="13" t="s">
        <v>15</v>
      </c>
      <c r="G2" s="13" t="s">
        <v>22</v>
      </c>
      <c r="H2" s="13" t="s">
        <v>18</v>
      </c>
      <c r="I2" s="14"/>
      <c r="J2" s="11">
        <v>2</v>
      </c>
      <c r="K2" s="11">
        <v>3</v>
      </c>
      <c r="L2" s="11">
        <v>4</v>
      </c>
      <c r="M2" s="11">
        <v>5</v>
      </c>
      <c r="N2" s="11">
        <v>6</v>
      </c>
      <c r="O2" s="12">
        <v>7</v>
      </c>
      <c r="P2" s="12">
        <v>8</v>
      </c>
      <c r="Q2" s="13" t="s">
        <v>13</v>
      </c>
      <c r="R2" s="13" t="s">
        <v>14</v>
      </c>
      <c r="S2" s="13" t="s">
        <v>16</v>
      </c>
      <c r="T2" s="13" t="s">
        <v>15</v>
      </c>
      <c r="U2" s="13" t="s">
        <v>22</v>
      </c>
      <c r="V2" s="13" t="s">
        <v>18</v>
      </c>
      <c r="W2" s="14"/>
      <c r="X2" s="11">
        <v>9</v>
      </c>
      <c r="Y2" s="11">
        <v>10</v>
      </c>
      <c r="Z2" s="11">
        <v>11</v>
      </c>
      <c r="AA2" s="11">
        <v>12</v>
      </c>
      <c r="AB2" s="11">
        <v>13</v>
      </c>
      <c r="AC2" s="12">
        <v>14</v>
      </c>
      <c r="AD2" s="12">
        <v>15</v>
      </c>
      <c r="AE2" s="13" t="s">
        <v>13</v>
      </c>
      <c r="AF2" s="13" t="s">
        <v>14</v>
      </c>
      <c r="AG2" s="13" t="s">
        <v>16</v>
      </c>
      <c r="AH2" s="13" t="s">
        <v>15</v>
      </c>
      <c r="AI2" s="13" t="s">
        <v>22</v>
      </c>
      <c r="AJ2" s="13" t="s">
        <v>18</v>
      </c>
      <c r="AK2" s="14"/>
      <c r="AL2" s="11">
        <v>16</v>
      </c>
      <c r="AM2" s="11">
        <v>17</v>
      </c>
      <c r="AN2" s="11">
        <v>18</v>
      </c>
      <c r="AO2" s="11">
        <v>19</v>
      </c>
      <c r="AP2" s="11">
        <v>20</v>
      </c>
      <c r="AQ2" s="12">
        <v>21</v>
      </c>
      <c r="AR2" s="12">
        <v>22</v>
      </c>
      <c r="AS2" s="13" t="s">
        <v>13</v>
      </c>
      <c r="AT2" s="13" t="s">
        <v>14</v>
      </c>
      <c r="AU2" s="13" t="s">
        <v>16</v>
      </c>
      <c r="AV2" s="13" t="s">
        <v>15</v>
      </c>
      <c r="AW2" s="13" t="s">
        <v>22</v>
      </c>
      <c r="AX2" s="13" t="s">
        <v>18</v>
      </c>
      <c r="AY2" s="14"/>
      <c r="AZ2" s="11">
        <v>23</v>
      </c>
      <c r="BA2" s="11">
        <v>24</v>
      </c>
      <c r="BB2" s="11">
        <v>25</v>
      </c>
      <c r="BC2" s="11">
        <v>26</v>
      </c>
      <c r="BD2" s="11">
        <v>27</v>
      </c>
      <c r="BE2" s="12">
        <v>28</v>
      </c>
      <c r="BF2" s="12">
        <v>29</v>
      </c>
      <c r="BG2" s="13" t="s">
        <v>13</v>
      </c>
      <c r="BH2" s="13" t="s">
        <v>14</v>
      </c>
      <c r="BI2" s="13" t="s">
        <v>16</v>
      </c>
      <c r="BJ2" s="13" t="s">
        <v>15</v>
      </c>
      <c r="BK2" s="13" t="s">
        <v>22</v>
      </c>
      <c r="BL2" s="13" t="s">
        <v>18</v>
      </c>
      <c r="BM2" s="14"/>
      <c r="BN2" s="15" t="s">
        <v>13</v>
      </c>
      <c r="BO2" s="16" t="s">
        <v>14</v>
      </c>
      <c r="BP2" s="18" t="s">
        <v>15</v>
      </c>
      <c r="BQ2" s="17" t="s">
        <v>16</v>
      </c>
      <c r="BR2" s="17" t="s">
        <v>22</v>
      </c>
      <c r="BS2" s="17" t="s">
        <v>18</v>
      </c>
      <c r="BT2" s="82"/>
      <c r="BU2" s="84"/>
      <c r="BV2" s="86"/>
    </row>
    <row r="3" spans="1:74" x14ac:dyDescent="0.25">
      <c r="A3" s="19" t="s">
        <v>31</v>
      </c>
      <c r="B3" s="20" t="s">
        <v>17</v>
      </c>
      <c r="C3" s="21">
        <v>0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14">
        <f>(7*C3)+(7*D3)+(12*E3)+(9*F3)+(12*G3)+(12*H3)</f>
        <v>0</v>
      </c>
      <c r="J3" s="26" t="s">
        <v>17</v>
      </c>
      <c r="K3" s="26" t="s">
        <v>17</v>
      </c>
      <c r="L3" s="26" t="s">
        <v>17</v>
      </c>
      <c r="M3" s="26" t="s">
        <v>17</v>
      </c>
      <c r="N3" s="26" t="s">
        <v>17</v>
      </c>
      <c r="O3" s="20" t="s">
        <v>17</v>
      </c>
      <c r="P3" s="20" t="s">
        <v>17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14">
        <f>(7*Q3)+(7*R3)+(12*S3)+(9*T3)+(12*U3)+(12*V3)</f>
        <v>0</v>
      </c>
      <c r="X3" s="26" t="s">
        <v>17</v>
      </c>
      <c r="Y3" s="26" t="s">
        <v>17</v>
      </c>
      <c r="Z3" s="26" t="s">
        <v>17</v>
      </c>
      <c r="AA3" s="26" t="s">
        <v>17</v>
      </c>
      <c r="AB3" s="26" t="s">
        <v>17</v>
      </c>
      <c r="AC3" s="20" t="s">
        <v>17</v>
      </c>
      <c r="AD3" s="20" t="s">
        <v>17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14">
        <f>(7*AE3)+(7*AF3)+(12*AG3)+(9*AH3)+(12*AI3)+(12*AJ3)</f>
        <v>0</v>
      </c>
      <c r="AL3" s="26" t="s">
        <v>17</v>
      </c>
      <c r="AM3" s="26" t="s">
        <v>17</v>
      </c>
      <c r="AN3" s="26" t="s">
        <v>17</v>
      </c>
      <c r="AO3" s="26" t="s">
        <v>17</v>
      </c>
      <c r="AP3" s="26" t="s">
        <v>17</v>
      </c>
      <c r="AQ3" s="20" t="s">
        <v>17</v>
      </c>
      <c r="AR3" s="20" t="s">
        <v>17</v>
      </c>
      <c r="AS3" s="21">
        <v>0</v>
      </c>
      <c r="AT3" s="21">
        <v>0</v>
      </c>
      <c r="AU3" s="21">
        <v>0</v>
      </c>
      <c r="AV3" s="21">
        <v>0</v>
      </c>
      <c r="AW3" s="21">
        <v>0</v>
      </c>
      <c r="AX3" s="21">
        <v>0</v>
      </c>
      <c r="AY3" s="14">
        <f>(7*AS3)+(7*AT3)+(12*AU3)+(9*AV3)+(12*AW3)+(12*AX3)</f>
        <v>0</v>
      </c>
      <c r="AZ3" s="26" t="s">
        <v>17</v>
      </c>
      <c r="BA3" s="26" t="s">
        <v>17</v>
      </c>
      <c r="BB3" s="26" t="s">
        <v>17</v>
      </c>
      <c r="BC3" s="26" t="s">
        <v>17</v>
      </c>
      <c r="BD3" s="26" t="s">
        <v>17</v>
      </c>
      <c r="BE3" s="20" t="s">
        <v>17</v>
      </c>
      <c r="BF3" s="20" t="s">
        <v>17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14">
        <f>(7*BG3)+(7*BH3)+(12*BI3)+(9*BJ3)+(12*BK3)+(12*BL3)</f>
        <v>0</v>
      </c>
      <c r="BN3" s="22">
        <f t="shared" ref="BN3:BN12" si="0">SUM(C3,Q3,AE3,AS3,BG3)</f>
        <v>0</v>
      </c>
      <c r="BO3" s="23">
        <f t="shared" ref="BO3:BO12" si="1">SUM(D3,R3,AF3,AT3,BH3)</f>
        <v>0</v>
      </c>
      <c r="BP3" s="24">
        <f t="shared" ref="BP3:BP12" si="2">SUM(F3,T3,AH3,AV3,BJ3)</f>
        <v>0</v>
      </c>
      <c r="BQ3" s="23">
        <f t="shared" ref="BQ3:BQ12" si="3">SUM(E3,S3,AG3,AU3,BI3)</f>
        <v>0</v>
      </c>
      <c r="BR3" s="23">
        <f t="shared" ref="BR3:BR12" si="4">SUM(G3,U3,AI3,AW3,BK3)</f>
        <v>0</v>
      </c>
      <c r="BS3" s="23">
        <f t="shared" ref="BS3:BS12" si="5">SUM(H3,V3,AJ3,AX3,BL3)</f>
        <v>0</v>
      </c>
      <c r="BT3" s="42">
        <f t="shared" ref="BT3:BT19" si="6">SUM(BN3:BS3)</f>
        <v>0</v>
      </c>
      <c r="BU3" s="25">
        <f t="shared" ref="BU3:BU12" si="7">SUM(I3,W3,AK3,AY3,BM3)</f>
        <v>0</v>
      </c>
      <c r="BV3" s="1">
        <f t="shared" ref="BV3:BV12" si="8">BU3-180</f>
        <v>-180</v>
      </c>
    </row>
    <row r="4" spans="1:74" x14ac:dyDescent="0.25">
      <c r="A4" s="19" t="s">
        <v>20</v>
      </c>
      <c r="B4" s="20" t="s">
        <v>17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14">
        <f>(7*C4)+(7*D4)+(12*E4)+(12*G4)+(12*H4)</f>
        <v>0</v>
      </c>
      <c r="J4" s="26" t="s">
        <v>17</v>
      </c>
      <c r="K4" s="26" t="s">
        <v>17</v>
      </c>
      <c r="L4" s="26" t="s">
        <v>17</v>
      </c>
      <c r="M4" s="26" t="s">
        <v>17</v>
      </c>
      <c r="N4" s="26" t="s">
        <v>17</v>
      </c>
      <c r="O4" s="20" t="s">
        <v>17</v>
      </c>
      <c r="P4" s="20" t="s">
        <v>17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14">
        <f>(7*Q4)+(7*R4)+(12*S4)+(12*U4)+(12*V4)</f>
        <v>0</v>
      </c>
      <c r="X4" s="26" t="s">
        <v>17</v>
      </c>
      <c r="Y4" s="26" t="s">
        <v>17</v>
      </c>
      <c r="Z4" s="26" t="s">
        <v>17</v>
      </c>
      <c r="AA4" s="26" t="s">
        <v>17</v>
      </c>
      <c r="AB4" s="26" t="s">
        <v>17</v>
      </c>
      <c r="AC4" s="20" t="s">
        <v>17</v>
      </c>
      <c r="AD4" s="20" t="s">
        <v>17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14">
        <f>(7*AE4)+(7*AF4)+(12*AG4)+(12*AI4)+(12*AJ4)</f>
        <v>0</v>
      </c>
      <c r="AL4" s="26" t="s">
        <v>17</v>
      </c>
      <c r="AM4" s="26" t="s">
        <v>17</v>
      </c>
      <c r="AN4" s="26" t="s">
        <v>17</v>
      </c>
      <c r="AO4" s="26" t="s">
        <v>17</v>
      </c>
      <c r="AP4" s="26" t="s">
        <v>17</v>
      </c>
      <c r="AQ4" s="20" t="s">
        <v>17</v>
      </c>
      <c r="AR4" s="20" t="s">
        <v>17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14">
        <f t="shared" ref="AY4:AY17" si="9">(7*AS4)+(7*AT4)+(12*AU4)+(12*AW4)+(12*AX4)</f>
        <v>0</v>
      </c>
      <c r="AZ4" s="26" t="s">
        <v>17</v>
      </c>
      <c r="BA4" s="26" t="s">
        <v>17</v>
      </c>
      <c r="BB4" s="26" t="s">
        <v>17</v>
      </c>
      <c r="BC4" s="26" t="s">
        <v>17</v>
      </c>
      <c r="BD4" s="26" t="s">
        <v>17</v>
      </c>
      <c r="BE4" s="20" t="s">
        <v>17</v>
      </c>
      <c r="BF4" s="20" t="s">
        <v>17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  <c r="BM4" s="14">
        <f t="shared" ref="BM4:BM12" si="10">(7*BG4)+(7*BH4)+(12*BI4)+(12*BK4)+(12*BL4)</f>
        <v>0</v>
      </c>
      <c r="BN4" s="22">
        <f t="shared" si="0"/>
        <v>0</v>
      </c>
      <c r="BO4" s="23">
        <f t="shared" si="1"/>
        <v>0</v>
      </c>
      <c r="BP4" s="24">
        <f t="shared" si="2"/>
        <v>0</v>
      </c>
      <c r="BQ4" s="23">
        <f t="shared" si="3"/>
        <v>0</v>
      </c>
      <c r="BR4" s="23">
        <f t="shared" si="4"/>
        <v>0</v>
      </c>
      <c r="BS4" s="23">
        <f t="shared" si="5"/>
        <v>0</v>
      </c>
      <c r="BT4" s="42">
        <f t="shared" si="6"/>
        <v>0</v>
      </c>
      <c r="BU4" s="25">
        <f t="shared" si="7"/>
        <v>0</v>
      </c>
      <c r="BV4" s="1">
        <f t="shared" si="8"/>
        <v>-180</v>
      </c>
    </row>
    <row r="5" spans="1:74" x14ac:dyDescent="0.25">
      <c r="A5" s="19" t="s">
        <v>34</v>
      </c>
      <c r="B5" s="20" t="s">
        <v>17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14">
        <f>(7*C5)+(7*D5)+(12*E5)+(12*G5)+(12*H5)</f>
        <v>0</v>
      </c>
      <c r="J5" s="26" t="s">
        <v>17</v>
      </c>
      <c r="K5" s="26" t="s">
        <v>17</v>
      </c>
      <c r="L5" s="26" t="s">
        <v>17</v>
      </c>
      <c r="M5" s="26" t="s">
        <v>17</v>
      </c>
      <c r="N5" s="26" t="s">
        <v>17</v>
      </c>
      <c r="O5" s="20" t="s">
        <v>17</v>
      </c>
      <c r="P5" s="20" t="s">
        <v>17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4">
        <f>(7*Q5)+(7*R5)+(12*S5)+(12*U5)+(12*V5)</f>
        <v>0</v>
      </c>
      <c r="X5" s="26" t="s">
        <v>17</v>
      </c>
      <c r="Y5" s="26" t="s">
        <v>17</v>
      </c>
      <c r="Z5" s="26" t="s">
        <v>17</v>
      </c>
      <c r="AA5" s="26" t="s">
        <v>17</v>
      </c>
      <c r="AB5" s="26" t="s">
        <v>17</v>
      </c>
      <c r="AC5" s="20" t="s">
        <v>17</v>
      </c>
      <c r="AD5" s="20" t="s">
        <v>17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14">
        <f>(7*AE5)+(7*AF5)+(12*AG5)+(12*AI5)+(12*AJ5)</f>
        <v>0</v>
      </c>
      <c r="AL5" s="26" t="s">
        <v>17</v>
      </c>
      <c r="AM5" s="26" t="s">
        <v>17</v>
      </c>
      <c r="AN5" s="26" t="s">
        <v>17</v>
      </c>
      <c r="AO5" s="26" t="s">
        <v>17</v>
      </c>
      <c r="AP5" s="26" t="s">
        <v>17</v>
      </c>
      <c r="AQ5" s="20" t="s">
        <v>17</v>
      </c>
      <c r="AR5" s="20" t="s">
        <v>17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14">
        <f t="shared" si="9"/>
        <v>0</v>
      </c>
      <c r="AZ5" s="26" t="s">
        <v>17</v>
      </c>
      <c r="BA5" s="26" t="s">
        <v>17</v>
      </c>
      <c r="BB5" s="26" t="s">
        <v>17</v>
      </c>
      <c r="BC5" s="26" t="s">
        <v>17</v>
      </c>
      <c r="BD5" s="26" t="s">
        <v>17</v>
      </c>
      <c r="BE5" s="20" t="s">
        <v>17</v>
      </c>
      <c r="BF5" s="20" t="s">
        <v>17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14">
        <f t="shared" si="10"/>
        <v>0</v>
      </c>
      <c r="BN5" s="22">
        <f t="shared" si="0"/>
        <v>0</v>
      </c>
      <c r="BO5" s="23">
        <f t="shared" si="1"/>
        <v>0</v>
      </c>
      <c r="BP5" s="24">
        <f t="shared" si="2"/>
        <v>0</v>
      </c>
      <c r="BQ5" s="23">
        <f t="shared" si="3"/>
        <v>0</v>
      </c>
      <c r="BR5" s="23">
        <f t="shared" si="4"/>
        <v>0</v>
      </c>
      <c r="BS5" s="23">
        <f t="shared" si="5"/>
        <v>0</v>
      </c>
      <c r="BT5" s="42">
        <f t="shared" si="6"/>
        <v>0</v>
      </c>
      <c r="BU5" s="25">
        <f t="shared" si="7"/>
        <v>0</v>
      </c>
      <c r="BV5" s="1">
        <f t="shared" si="8"/>
        <v>-180</v>
      </c>
    </row>
    <row r="6" spans="1:74" x14ac:dyDescent="0.25">
      <c r="A6" s="19" t="s">
        <v>21</v>
      </c>
      <c r="B6" s="20" t="s">
        <v>17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14">
        <f>(7*C6)+(7*D6)+(12*E6)+(12*G6)+(12*H6)</f>
        <v>0</v>
      </c>
      <c r="J6" s="26" t="s">
        <v>17</v>
      </c>
      <c r="K6" s="26" t="s">
        <v>17</v>
      </c>
      <c r="L6" s="26" t="s">
        <v>17</v>
      </c>
      <c r="M6" s="26" t="s">
        <v>17</v>
      </c>
      <c r="N6" s="26" t="s">
        <v>17</v>
      </c>
      <c r="O6" s="20" t="s">
        <v>17</v>
      </c>
      <c r="P6" s="20" t="s">
        <v>17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14">
        <f>(7*Q6)+(7*R6)+(12*S6)+(12*U6)+(12*V6)</f>
        <v>0</v>
      </c>
      <c r="X6" s="26" t="s">
        <v>17</v>
      </c>
      <c r="Y6" s="26" t="s">
        <v>17</v>
      </c>
      <c r="Z6" s="26" t="s">
        <v>17</v>
      </c>
      <c r="AA6" s="26" t="s">
        <v>17</v>
      </c>
      <c r="AB6" s="26" t="s">
        <v>17</v>
      </c>
      <c r="AC6" s="20" t="s">
        <v>17</v>
      </c>
      <c r="AD6" s="20" t="s">
        <v>17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14">
        <f>(7*AE6)+(7*AF6)+(12*AG6)+(12*AI6)+(12*AJ6)</f>
        <v>0</v>
      </c>
      <c r="AL6" s="26" t="s">
        <v>17</v>
      </c>
      <c r="AM6" s="26" t="s">
        <v>17</v>
      </c>
      <c r="AN6" s="26" t="s">
        <v>17</v>
      </c>
      <c r="AO6" s="26" t="s">
        <v>17</v>
      </c>
      <c r="AP6" s="26" t="s">
        <v>17</v>
      </c>
      <c r="AQ6" s="20" t="s">
        <v>17</v>
      </c>
      <c r="AR6" s="20" t="s">
        <v>17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14">
        <f t="shared" si="9"/>
        <v>0</v>
      </c>
      <c r="AZ6" s="26" t="s">
        <v>17</v>
      </c>
      <c r="BA6" s="26" t="s">
        <v>17</v>
      </c>
      <c r="BB6" s="26" t="s">
        <v>17</v>
      </c>
      <c r="BC6" s="26" t="s">
        <v>17</v>
      </c>
      <c r="BD6" s="26" t="s">
        <v>17</v>
      </c>
      <c r="BE6" s="20" t="s">
        <v>17</v>
      </c>
      <c r="BF6" s="20" t="s">
        <v>17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14">
        <f t="shared" si="10"/>
        <v>0</v>
      </c>
      <c r="BN6" s="22">
        <f t="shared" si="0"/>
        <v>0</v>
      </c>
      <c r="BO6" s="23">
        <f t="shared" si="1"/>
        <v>0</v>
      </c>
      <c r="BP6" s="24">
        <f t="shared" si="2"/>
        <v>0</v>
      </c>
      <c r="BQ6" s="23">
        <f t="shared" si="3"/>
        <v>0</v>
      </c>
      <c r="BR6" s="23">
        <f t="shared" si="4"/>
        <v>0</v>
      </c>
      <c r="BS6" s="23">
        <f t="shared" si="5"/>
        <v>0</v>
      </c>
      <c r="BT6" s="42">
        <f t="shared" si="6"/>
        <v>0</v>
      </c>
      <c r="BU6" s="25">
        <f t="shared" si="7"/>
        <v>0</v>
      </c>
      <c r="BV6" s="1">
        <f t="shared" si="8"/>
        <v>-180</v>
      </c>
    </row>
    <row r="7" spans="1:74" x14ac:dyDescent="0.25">
      <c r="A7" s="19" t="s">
        <v>38</v>
      </c>
      <c r="B7" s="20" t="s">
        <v>17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14">
        <f t="shared" ref="I7:I17" si="11">(7*C7)+(7*D7)+(12*E7)+(12*G7)+(12*H7)</f>
        <v>0</v>
      </c>
      <c r="J7" s="26" t="s">
        <v>17</v>
      </c>
      <c r="K7" s="26" t="s">
        <v>17</v>
      </c>
      <c r="L7" s="26" t="s">
        <v>17</v>
      </c>
      <c r="M7" s="26" t="s">
        <v>17</v>
      </c>
      <c r="N7" s="26" t="s">
        <v>17</v>
      </c>
      <c r="O7" s="20" t="s">
        <v>17</v>
      </c>
      <c r="P7" s="20" t="s">
        <v>17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14">
        <f t="shared" ref="W7:W17" si="12">(7*Q7)+(7*R7)+(12*S7)+(12*U7)+(12*V7)</f>
        <v>0</v>
      </c>
      <c r="X7" s="26" t="s">
        <v>17</v>
      </c>
      <c r="Y7" s="26" t="s">
        <v>17</v>
      </c>
      <c r="Z7" s="26" t="s">
        <v>17</v>
      </c>
      <c r="AA7" s="26" t="s">
        <v>17</v>
      </c>
      <c r="AB7" s="26" t="s">
        <v>17</v>
      </c>
      <c r="AC7" s="20" t="s">
        <v>17</v>
      </c>
      <c r="AD7" s="20" t="s">
        <v>17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14">
        <f t="shared" ref="AK7:AK17" si="13">(7*AE7)+(7*AF7)+(12*AG7)+(12*AI7)+(12*AJ7)</f>
        <v>0</v>
      </c>
      <c r="AL7" s="26" t="s">
        <v>17</v>
      </c>
      <c r="AM7" s="26" t="s">
        <v>17</v>
      </c>
      <c r="AN7" s="26" t="s">
        <v>17</v>
      </c>
      <c r="AO7" s="26" t="s">
        <v>17</v>
      </c>
      <c r="AP7" s="26" t="s">
        <v>17</v>
      </c>
      <c r="AQ7" s="20" t="s">
        <v>17</v>
      </c>
      <c r="AR7" s="20" t="s">
        <v>17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14">
        <f t="shared" si="9"/>
        <v>0</v>
      </c>
      <c r="AZ7" s="26" t="s">
        <v>17</v>
      </c>
      <c r="BA7" s="26" t="s">
        <v>17</v>
      </c>
      <c r="BB7" s="26" t="s">
        <v>17</v>
      </c>
      <c r="BC7" s="26" t="s">
        <v>17</v>
      </c>
      <c r="BD7" s="26" t="s">
        <v>17</v>
      </c>
      <c r="BE7" s="20" t="s">
        <v>17</v>
      </c>
      <c r="BF7" s="20" t="s">
        <v>17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14">
        <f t="shared" si="10"/>
        <v>0</v>
      </c>
      <c r="BN7" s="22">
        <f t="shared" si="0"/>
        <v>0</v>
      </c>
      <c r="BO7" s="23">
        <f t="shared" si="1"/>
        <v>0</v>
      </c>
      <c r="BP7" s="24">
        <f t="shared" si="2"/>
        <v>0</v>
      </c>
      <c r="BQ7" s="23">
        <f t="shared" si="3"/>
        <v>0</v>
      </c>
      <c r="BR7" s="23">
        <f t="shared" si="4"/>
        <v>0</v>
      </c>
      <c r="BS7" s="23">
        <f t="shared" si="5"/>
        <v>0</v>
      </c>
      <c r="BT7" s="42">
        <f t="shared" si="6"/>
        <v>0</v>
      </c>
      <c r="BU7" s="25">
        <f t="shared" si="7"/>
        <v>0</v>
      </c>
      <c r="BV7" s="1">
        <f t="shared" si="8"/>
        <v>-180</v>
      </c>
    </row>
    <row r="8" spans="1:74" x14ac:dyDescent="0.25">
      <c r="A8" s="19" t="s">
        <v>23</v>
      </c>
      <c r="B8" s="20" t="s">
        <v>17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14">
        <f t="shared" si="11"/>
        <v>0</v>
      </c>
      <c r="J8" s="26" t="s">
        <v>17</v>
      </c>
      <c r="K8" s="26" t="s">
        <v>17</v>
      </c>
      <c r="L8" s="26" t="s">
        <v>17</v>
      </c>
      <c r="M8" s="26" t="s">
        <v>17</v>
      </c>
      <c r="N8" s="26" t="s">
        <v>17</v>
      </c>
      <c r="O8" s="20" t="s">
        <v>17</v>
      </c>
      <c r="P8" s="20" t="s">
        <v>17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14">
        <f t="shared" si="12"/>
        <v>0</v>
      </c>
      <c r="X8" s="26" t="s">
        <v>17</v>
      </c>
      <c r="Y8" s="26" t="s">
        <v>17</v>
      </c>
      <c r="Z8" s="26" t="s">
        <v>17</v>
      </c>
      <c r="AA8" s="26" t="s">
        <v>17</v>
      </c>
      <c r="AB8" s="26" t="s">
        <v>17</v>
      </c>
      <c r="AC8" s="20" t="s">
        <v>17</v>
      </c>
      <c r="AD8" s="20" t="s">
        <v>17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14">
        <f t="shared" si="13"/>
        <v>0</v>
      </c>
      <c r="AL8" s="26" t="s">
        <v>17</v>
      </c>
      <c r="AM8" s="26" t="s">
        <v>17</v>
      </c>
      <c r="AN8" s="26" t="s">
        <v>17</v>
      </c>
      <c r="AO8" s="26" t="s">
        <v>17</v>
      </c>
      <c r="AP8" s="26" t="s">
        <v>17</v>
      </c>
      <c r="AQ8" s="20" t="s">
        <v>17</v>
      </c>
      <c r="AR8" s="20" t="s">
        <v>17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14">
        <f t="shared" si="9"/>
        <v>0</v>
      </c>
      <c r="AZ8" s="26" t="s">
        <v>17</v>
      </c>
      <c r="BA8" s="26" t="s">
        <v>17</v>
      </c>
      <c r="BB8" s="26" t="s">
        <v>17</v>
      </c>
      <c r="BC8" s="26" t="s">
        <v>17</v>
      </c>
      <c r="BD8" s="26" t="s">
        <v>17</v>
      </c>
      <c r="BE8" s="20" t="s">
        <v>17</v>
      </c>
      <c r="BF8" s="20" t="s">
        <v>17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14">
        <f t="shared" si="10"/>
        <v>0</v>
      </c>
      <c r="BN8" s="22">
        <f t="shared" si="0"/>
        <v>0</v>
      </c>
      <c r="BO8" s="23">
        <f t="shared" si="1"/>
        <v>0</v>
      </c>
      <c r="BP8" s="24">
        <f t="shared" si="2"/>
        <v>0</v>
      </c>
      <c r="BQ8" s="23">
        <f t="shared" si="3"/>
        <v>0</v>
      </c>
      <c r="BR8" s="23">
        <f t="shared" si="4"/>
        <v>0</v>
      </c>
      <c r="BS8" s="23">
        <f t="shared" si="5"/>
        <v>0</v>
      </c>
      <c r="BT8" s="42">
        <f t="shared" si="6"/>
        <v>0</v>
      </c>
      <c r="BU8" s="25">
        <f t="shared" si="7"/>
        <v>0</v>
      </c>
      <c r="BV8" s="1">
        <f t="shared" si="8"/>
        <v>-180</v>
      </c>
    </row>
    <row r="9" spans="1:74" x14ac:dyDescent="0.25">
      <c r="A9" s="19" t="s">
        <v>24</v>
      </c>
      <c r="B9" s="20" t="s">
        <v>17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14">
        <f t="shared" si="11"/>
        <v>0</v>
      </c>
      <c r="J9" s="26" t="s">
        <v>17</v>
      </c>
      <c r="K9" s="26" t="s">
        <v>17</v>
      </c>
      <c r="L9" s="26" t="s">
        <v>17</v>
      </c>
      <c r="M9" s="26" t="s">
        <v>17</v>
      </c>
      <c r="N9" s="26" t="s">
        <v>17</v>
      </c>
      <c r="O9" s="20" t="s">
        <v>17</v>
      </c>
      <c r="P9" s="20" t="s">
        <v>17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4">
        <f t="shared" si="12"/>
        <v>0</v>
      </c>
      <c r="X9" s="26" t="s">
        <v>17</v>
      </c>
      <c r="Y9" s="26" t="s">
        <v>17</v>
      </c>
      <c r="Z9" s="26" t="s">
        <v>17</v>
      </c>
      <c r="AA9" s="26" t="s">
        <v>17</v>
      </c>
      <c r="AB9" s="26" t="s">
        <v>17</v>
      </c>
      <c r="AC9" s="20" t="s">
        <v>17</v>
      </c>
      <c r="AD9" s="20" t="s">
        <v>17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14">
        <f t="shared" si="13"/>
        <v>0</v>
      </c>
      <c r="AL9" s="26" t="s">
        <v>17</v>
      </c>
      <c r="AM9" s="26" t="s">
        <v>17</v>
      </c>
      <c r="AN9" s="26" t="s">
        <v>17</v>
      </c>
      <c r="AO9" s="26" t="s">
        <v>17</v>
      </c>
      <c r="AP9" s="26" t="s">
        <v>17</v>
      </c>
      <c r="AQ9" s="20" t="s">
        <v>17</v>
      </c>
      <c r="AR9" s="20" t="s">
        <v>17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14">
        <f t="shared" si="9"/>
        <v>0</v>
      </c>
      <c r="AZ9" s="26" t="s">
        <v>17</v>
      </c>
      <c r="BA9" s="26" t="s">
        <v>17</v>
      </c>
      <c r="BB9" s="26" t="s">
        <v>17</v>
      </c>
      <c r="BC9" s="26" t="s">
        <v>17</v>
      </c>
      <c r="BD9" s="26" t="s">
        <v>17</v>
      </c>
      <c r="BE9" s="20" t="s">
        <v>17</v>
      </c>
      <c r="BF9" s="20" t="s">
        <v>17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14">
        <f t="shared" si="10"/>
        <v>0</v>
      </c>
      <c r="BN9" s="22">
        <f t="shared" si="0"/>
        <v>0</v>
      </c>
      <c r="BO9" s="23">
        <f t="shared" si="1"/>
        <v>0</v>
      </c>
      <c r="BP9" s="24">
        <f t="shared" si="2"/>
        <v>0</v>
      </c>
      <c r="BQ9" s="23">
        <f t="shared" si="3"/>
        <v>0</v>
      </c>
      <c r="BR9" s="23">
        <f t="shared" si="4"/>
        <v>0</v>
      </c>
      <c r="BS9" s="23">
        <f t="shared" si="5"/>
        <v>0</v>
      </c>
      <c r="BT9" s="42">
        <f t="shared" si="6"/>
        <v>0</v>
      </c>
      <c r="BU9" s="25">
        <f t="shared" si="7"/>
        <v>0</v>
      </c>
      <c r="BV9" s="1">
        <f t="shared" si="8"/>
        <v>-180</v>
      </c>
    </row>
    <row r="10" spans="1:74" x14ac:dyDescent="0.25">
      <c r="A10" s="27" t="s">
        <v>27</v>
      </c>
      <c r="B10" s="20" t="s">
        <v>17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14">
        <f t="shared" si="11"/>
        <v>0</v>
      </c>
      <c r="J10" s="26" t="s">
        <v>17</v>
      </c>
      <c r="K10" s="26" t="s">
        <v>17</v>
      </c>
      <c r="L10" s="26" t="s">
        <v>17</v>
      </c>
      <c r="M10" s="26" t="s">
        <v>17</v>
      </c>
      <c r="N10" s="26" t="s">
        <v>17</v>
      </c>
      <c r="O10" s="20" t="s">
        <v>17</v>
      </c>
      <c r="P10" s="20" t="s">
        <v>17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14">
        <f t="shared" si="12"/>
        <v>0</v>
      </c>
      <c r="X10" s="26" t="s">
        <v>17</v>
      </c>
      <c r="Y10" s="26" t="s">
        <v>17</v>
      </c>
      <c r="Z10" s="26" t="s">
        <v>17</v>
      </c>
      <c r="AA10" s="26" t="s">
        <v>17</v>
      </c>
      <c r="AB10" s="26" t="s">
        <v>17</v>
      </c>
      <c r="AC10" s="20" t="s">
        <v>17</v>
      </c>
      <c r="AD10" s="20" t="s">
        <v>17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14">
        <f>(7*AE10)+(7*AF10)+(12*AG10)+(12*AI10)+(12*AJ10)</f>
        <v>0</v>
      </c>
      <c r="AL10" s="26" t="s">
        <v>17</v>
      </c>
      <c r="AM10" s="26" t="s">
        <v>17</v>
      </c>
      <c r="AN10" s="26" t="s">
        <v>17</v>
      </c>
      <c r="AO10" s="26" t="s">
        <v>17</v>
      </c>
      <c r="AP10" s="26" t="s">
        <v>17</v>
      </c>
      <c r="AQ10" s="20" t="s">
        <v>17</v>
      </c>
      <c r="AR10" s="20" t="s">
        <v>17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14">
        <f t="shared" si="9"/>
        <v>0</v>
      </c>
      <c r="AZ10" s="26" t="s">
        <v>17</v>
      </c>
      <c r="BA10" s="26" t="s">
        <v>17</v>
      </c>
      <c r="BB10" s="26" t="s">
        <v>17</v>
      </c>
      <c r="BC10" s="26" t="s">
        <v>17</v>
      </c>
      <c r="BD10" s="26" t="s">
        <v>17</v>
      </c>
      <c r="BE10" s="20" t="s">
        <v>17</v>
      </c>
      <c r="BF10" s="20" t="s">
        <v>17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14">
        <f t="shared" si="10"/>
        <v>0</v>
      </c>
      <c r="BN10" s="22">
        <f t="shared" si="0"/>
        <v>0</v>
      </c>
      <c r="BO10" s="23">
        <f t="shared" si="1"/>
        <v>0</v>
      </c>
      <c r="BP10" s="24">
        <f t="shared" si="2"/>
        <v>0</v>
      </c>
      <c r="BQ10" s="23">
        <f t="shared" si="3"/>
        <v>0</v>
      </c>
      <c r="BR10" s="23">
        <f t="shared" si="4"/>
        <v>0</v>
      </c>
      <c r="BS10" s="23">
        <f t="shared" si="5"/>
        <v>0</v>
      </c>
      <c r="BT10" s="42">
        <f t="shared" si="6"/>
        <v>0</v>
      </c>
      <c r="BU10" s="25">
        <f t="shared" si="7"/>
        <v>0</v>
      </c>
      <c r="BV10" s="5">
        <f t="shared" si="8"/>
        <v>-180</v>
      </c>
    </row>
    <row r="11" spans="1:74" x14ac:dyDescent="0.25">
      <c r="A11" s="27" t="s">
        <v>25</v>
      </c>
      <c r="B11" s="20" t="s">
        <v>17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14">
        <f t="shared" si="11"/>
        <v>0</v>
      </c>
      <c r="J11" s="26" t="s">
        <v>17</v>
      </c>
      <c r="K11" s="26" t="s">
        <v>17</v>
      </c>
      <c r="L11" s="26" t="s">
        <v>17</v>
      </c>
      <c r="M11" s="26" t="s">
        <v>17</v>
      </c>
      <c r="N11" s="26" t="s">
        <v>17</v>
      </c>
      <c r="O11" s="20" t="s">
        <v>17</v>
      </c>
      <c r="P11" s="20" t="s">
        <v>17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14">
        <f t="shared" si="12"/>
        <v>0</v>
      </c>
      <c r="X11" s="26" t="s">
        <v>17</v>
      </c>
      <c r="Y11" s="26" t="s">
        <v>17</v>
      </c>
      <c r="Z11" s="26" t="s">
        <v>17</v>
      </c>
      <c r="AA11" s="26" t="s">
        <v>17</v>
      </c>
      <c r="AB11" s="26" t="s">
        <v>17</v>
      </c>
      <c r="AC11" s="20" t="s">
        <v>17</v>
      </c>
      <c r="AD11" s="20" t="s">
        <v>17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14">
        <f t="shared" si="13"/>
        <v>0</v>
      </c>
      <c r="AL11" s="26" t="s">
        <v>17</v>
      </c>
      <c r="AM11" s="26" t="s">
        <v>17</v>
      </c>
      <c r="AN11" s="26" t="s">
        <v>17</v>
      </c>
      <c r="AO11" s="26" t="s">
        <v>17</v>
      </c>
      <c r="AP11" s="26" t="s">
        <v>17</v>
      </c>
      <c r="AQ11" s="20" t="s">
        <v>17</v>
      </c>
      <c r="AR11" s="20" t="s">
        <v>17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14">
        <f t="shared" si="9"/>
        <v>0</v>
      </c>
      <c r="AZ11" s="26" t="s">
        <v>17</v>
      </c>
      <c r="BA11" s="26" t="s">
        <v>17</v>
      </c>
      <c r="BB11" s="26" t="s">
        <v>17</v>
      </c>
      <c r="BC11" s="26" t="s">
        <v>17</v>
      </c>
      <c r="BD11" s="26" t="s">
        <v>17</v>
      </c>
      <c r="BE11" s="20" t="s">
        <v>17</v>
      </c>
      <c r="BF11" s="20" t="s">
        <v>17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14">
        <f t="shared" si="10"/>
        <v>0</v>
      </c>
      <c r="BN11" s="22">
        <f t="shared" si="0"/>
        <v>0</v>
      </c>
      <c r="BO11" s="23">
        <f t="shared" si="1"/>
        <v>0</v>
      </c>
      <c r="BP11" s="24">
        <f t="shared" si="2"/>
        <v>0</v>
      </c>
      <c r="BQ11" s="23">
        <f t="shared" si="3"/>
        <v>0</v>
      </c>
      <c r="BR11" s="23">
        <f t="shared" si="4"/>
        <v>0</v>
      </c>
      <c r="BS11" s="23">
        <f t="shared" si="5"/>
        <v>0</v>
      </c>
      <c r="BT11" s="28">
        <f t="shared" si="6"/>
        <v>0</v>
      </c>
      <c r="BU11" s="25">
        <f t="shared" si="7"/>
        <v>0</v>
      </c>
      <c r="BV11" s="5">
        <f t="shared" si="8"/>
        <v>-180</v>
      </c>
    </row>
    <row r="12" spans="1:74" x14ac:dyDescent="0.25">
      <c r="A12" s="50" t="s">
        <v>28</v>
      </c>
      <c r="B12" s="20" t="s">
        <v>17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14">
        <f t="shared" si="11"/>
        <v>0</v>
      </c>
      <c r="J12" s="26" t="s">
        <v>17</v>
      </c>
      <c r="K12" s="26" t="s">
        <v>17</v>
      </c>
      <c r="L12" s="26" t="s">
        <v>17</v>
      </c>
      <c r="M12" s="26" t="s">
        <v>17</v>
      </c>
      <c r="N12" s="26" t="s">
        <v>17</v>
      </c>
      <c r="O12" s="20" t="s">
        <v>17</v>
      </c>
      <c r="P12" s="20" t="s">
        <v>17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14">
        <f t="shared" si="12"/>
        <v>0</v>
      </c>
      <c r="X12" s="26" t="s">
        <v>17</v>
      </c>
      <c r="Y12" s="26" t="s">
        <v>17</v>
      </c>
      <c r="Z12" s="26" t="s">
        <v>17</v>
      </c>
      <c r="AA12" s="26" t="s">
        <v>17</v>
      </c>
      <c r="AB12" s="26" t="s">
        <v>17</v>
      </c>
      <c r="AC12" s="20" t="s">
        <v>17</v>
      </c>
      <c r="AD12" s="20" t="s">
        <v>17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14">
        <f t="shared" si="13"/>
        <v>0</v>
      </c>
      <c r="AL12" s="26" t="s">
        <v>17</v>
      </c>
      <c r="AM12" s="26" t="s">
        <v>17</v>
      </c>
      <c r="AN12" s="26" t="s">
        <v>17</v>
      </c>
      <c r="AO12" s="26" t="s">
        <v>17</v>
      </c>
      <c r="AP12" s="26" t="s">
        <v>17</v>
      </c>
      <c r="AQ12" s="20" t="s">
        <v>17</v>
      </c>
      <c r="AR12" s="20" t="s">
        <v>17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14">
        <f t="shared" si="9"/>
        <v>0</v>
      </c>
      <c r="AZ12" s="26" t="s">
        <v>17</v>
      </c>
      <c r="BA12" s="26" t="s">
        <v>17</v>
      </c>
      <c r="BB12" s="26" t="s">
        <v>17</v>
      </c>
      <c r="BC12" s="26" t="s">
        <v>17</v>
      </c>
      <c r="BD12" s="26" t="s">
        <v>17</v>
      </c>
      <c r="BE12" s="20" t="s">
        <v>17</v>
      </c>
      <c r="BF12" s="20" t="s">
        <v>17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14">
        <f t="shared" si="10"/>
        <v>0</v>
      </c>
      <c r="BN12" s="22">
        <f t="shared" si="0"/>
        <v>0</v>
      </c>
      <c r="BO12" s="23">
        <f t="shared" si="1"/>
        <v>0</v>
      </c>
      <c r="BP12" s="24">
        <f t="shared" si="2"/>
        <v>0</v>
      </c>
      <c r="BQ12" s="23">
        <f t="shared" si="3"/>
        <v>0</v>
      </c>
      <c r="BR12" s="23">
        <f t="shared" si="4"/>
        <v>0</v>
      </c>
      <c r="BS12" s="23">
        <f t="shared" si="5"/>
        <v>0</v>
      </c>
      <c r="BT12" s="42">
        <f>SUM(BN12:BS12)</f>
        <v>0</v>
      </c>
      <c r="BU12" s="51">
        <f t="shared" si="7"/>
        <v>0</v>
      </c>
      <c r="BV12" s="52">
        <f t="shared" si="8"/>
        <v>-180</v>
      </c>
    </row>
    <row r="13" spans="1:74" x14ac:dyDescent="0.25">
      <c r="A13" s="27"/>
      <c r="B13" s="43"/>
      <c r="C13" s="44"/>
      <c r="D13" s="44"/>
      <c r="E13" s="44"/>
      <c r="F13" s="44"/>
      <c r="G13" s="44"/>
      <c r="H13" s="44"/>
      <c r="I13" s="44"/>
      <c r="J13" s="43"/>
      <c r="K13" s="43"/>
      <c r="L13" s="43"/>
      <c r="M13" s="43"/>
      <c r="N13" s="43"/>
      <c r="O13" s="43"/>
      <c r="P13" s="43"/>
      <c r="Q13" s="44"/>
      <c r="R13" s="44"/>
      <c r="S13" s="44"/>
      <c r="T13" s="44"/>
      <c r="U13" s="44"/>
      <c r="V13" s="44"/>
      <c r="W13" s="44"/>
      <c r="X13" s="43"/>
      <c r="Y13" s="43"/>
      <c r="Z13" s="43"/>
      <c r="AA13" s="43"/>
      <c r="AB13" s="43"/>
      <c r="AC13" s="43"/>
      <c r="AD13" s="43"/>
      <c r="AE13" s="44"/>
      <c r="AF13" s="44"/>
      <c r="AG13" s="44"/>
      <c r="AH13" s="44"/>
      <c r="AI13" s="44"/>
      <c r="AJ13" s="44"/>
      <c r="AK13" s="44"/>
      <c r="AL13" s="43"/>
      <c r="AM13" s="43"/>
      <c r="AN13" s="43"/>
      <c r="AO13" s="43"/>
      <c r="AP13" s="43"/>
      <c r="AQ13" s="43"/>
      <c r="AR13" s="43"/>
      <c r="AS13" s="44"/>
      <c r="AT13" s="44"/>
      <c r="AU13" s="44"/>
      <c r="AV13" s="44"/>
      <c r="AW13" s="44"/>
      <c r="AX13" s="44"/>
      <c r="AY13" s="44"/>
      <c r="AZ13" s="43"/>
      <c r="BA13" s="43"/>
      <c r="BB13" s="43"/>
      <c r="BC13" s="43"/>
      <c r="BD13" s="43"/>
      <c r="BE13" s="43"/>
      <c r="BF13" s="43"/>
      <c r="BG13" s="44"/>
      <c r="BH13" s="44"/>
      <c r="BI13" s="44"/>
      <c r="BJ13" s="44"/>
      <c r="BK13" s="44"/>
      <c r="BL13" s="44"/>
      <c r="BM13" s="44"/>
      <c r="BN13" s="45"/>
      <c r="BO13" s="46"/>
      <c r="BP13" s="47"/>
      <c r="BQ13" s="46"/>
      <c r="BR13" s="46"/>
      <c r="BS13" s="46"/>
      <c r="BT13" s="28"/>
      <c r="BU13" s="48">
        <f>SUM(BU3:BU12)</f>
        <v>0</v>
      </c>
      <c r="BV13" s="5"/>
    </row>
    <row r="14" spans="1:74" x14ac:dyDescent="0.25">
      <c r="A14" s="29" t="s">
        <v>41</v>
      </c>
      <c r="B14" s="30" t="s">
        <v>17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f>(7*C14)+(7*D14)+(12*E14)+(12*G14)+(12*H14)</f>
        <v>0</v>
      </c>
      <c r="J14" s="30" t="s">
        <v>17</v>
      </c>
      <c r="K14" s="30" t="s">
        <v>17</v>
      </c>
      <c r="L14" s="30" t="s">
        <v>17</v>
      </c>
      <c r="M14" s="30" t="s">
        <v>17</v>
      </c>
      <c r="N14" s="30" t="s">
        <v>17</v>
      </c>
      <c r="O14" s="30" t="s">
        <v>17</v>
      </c>
      <c r="P14" s="30" t="s">
        <v>17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f>(7*Q14)+(7*R14)+(12*S14)+(12*U14)+(12*V14)</f>
        <v>0</v>
      </c>
      <c r="X14" s="30" t="s">
        <v>17</v>
      </c>
      <c r="Y14" s="30" t="s">
        <v>17</v>
      </c>
      <c r="Z14" s="30" t="s">
        <v>17</v>
      </c>
      <c r="AA14" s="30" t="s">
        <v>17</v>
      </c>
      <c r="AB14" s="30" t="s">
        <v>17</v>
      </c>
      <c r="AC14" s="30" t="s">
        <v>17</v>
      </c>
      <c r="AD14" s="30" t="s">
        <v>17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f>(7*AE14)+(7*AF14)+(12*AG14)+(12*AI14)+(12*AJ14)</f>
        <v>0</v>
      </c>
      <c r="AL14" s="30" t="s">
        <v>17</v>
      </c>
      <c r="AM14" s="30" t="s">
        <v>17</v>
      </c>
      <c r="AN14" s="30" t="s">
        <v>17</v>
      </c>
      <c r="AO14" s="30" t="s">
        <v>17</v>
      </c>
      <c r="AP14" s="30" t="s">
        <v>17</v>
      </c>
      <c r="AQ14" s="30" t="s">
        <v>17</v>
      </c>
      <c r="AR14" s="30" t="s">
        <v>17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f>(7*AS14)+(7*AT14)+(12*AU14)+(12*AW14)+(12*AX14)</f>
        <v>0</v>
      </c>
      <c r="AZ14" s="30" t="s">
        <v>17</v>
      </c>
      <c r="BA14" s="30" t="s">
        <v>17</v>
      </c>
      <c r="BB14" s="30" t="s">
        <v>17</v>
      </c>
      <c r="BC14" s="30" t="s">
        <v>17</v>
      </c>
      <c r="BD14" s="30" t="s">
        <v>17</v>
      </c>
      <c r="BE14" s="30" t="s">
        <v>17</v>
      </c>
      <c r="BF14" s="30" t="s">
        <v>17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f>(7*BG14)+(7*BH14)+(12*BI14)+(12*BK14)+(12*BL14)</f>
        <v>0</v>
      </c>
      <c r="BN14" s="32">
        <f t="shared" ref="BN14:BO19" si="14">SUM(C14,Q14,AE14,AS14,BG14)</f>
        <v>0</v>
      </c>
      <c r="BO14" s="33">
        <f t="shared" si="14"/>
        <v>0</v>
      </c>
      <c r="BP14" s="34">
        <f t="shared" ref="BP14:BP19" si="15">SUM(F14,T14,AH14,AV14,BJ14)</f>
        <v>0</v>
      </c>
      <c r="BQ14" s="33">
        <f t="shared" ref="BQ14:BQ19" si="16">SUM(E14,S14,AG14,AU14,BI14)</f>
        <v>0</v>
      </c>
      <c r="BR14" s="33">
        <f t="shared" ref="BR14:BS19" si="17">SUM(G14,U14,AI14,AW14,BK14)</f>
        <v>0</v>
      </c>
      <c r="BS14" s="33">
        <f t="shared" si="17"/>
        <v>0</v>
      </c>
      <c r="BT14" s="35">
        <f>SUM(BN14:BS14)</f>
        <v>0</v>
      </c>
      <c r="BU14" s="36">
        <f t="shared" ref="BU14:BU19" si="18">SUM(I14,W14,AK14,AY14,BM14)</f>
        <v>0</v>
      </c>
      <c r="BV14" s="3">
        <f>BU14-180</f>
        <v>-180</v>
      </c>
    </row>
    <row r="15" spans="1:74" x14ac:dyDescent="0.25">
      <c r="A15" s="29" t="s">
        <v>29</v>
      </c>
      <c r="B15" s="30" t="s">
        <v>17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7">
        <f>(7*C15)+(7*D15)+(12*E15)+(12*G15)+(12*H15)</f>
        <v>0</v>
      </c>
      <c r="J15" s="30" t="s">
        <v>17</v>
      </c>
      <c r="K15" s="30" t="s">
        <v>17</v>
      </c>
      <c r="L15" s="30" t="s">
        <v>17</v>
      </c>
      <c r="M15" s="30" t="s">
        <v>17</v>
      </c>
      <c r="N15" s="30" t="s">
        <v>17</v>
      </c>
      <c r="O15" s="30" t="s">
        <v>17</v>
      </c>
      <c r="P15" s="30" t="s">
        <v>17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f>(7*Q15)+(7*R15)+(12*S15)+(12*U15)+(12*V15)</f>
        <v>0</v>
      </c>
      <c r="X15" s="30" t="s">
        <v>17</v>
      </c>
      <c r="Y15" s="30" t="s">
        <v>17</v>
      </c>
      <c r="Z15" s="30" t="s">
        <v>17</v>
      </c>
      <c r="AA15" s="30" t="s">
        <v>17</v>
      </c>
      <c r="AB15" s="30" t="s">
        <v>17</v>
      </c>
      <c r="AC15" s="30" t="s">
        <v>17</v>
      </c>
      <c r="AD15" s="30" t="s">
        <v>17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f>(7*AE15)+(7*AF15)+(12*AG15)+(12*AI15)+(12*AJ15)</f>
        <v>0</v>
      </c>
      <c r="AL15" s="30" t="s">
        <v>17</v>
      </c>
      <c r="AM15" s="30" t="s">
        <v>17</v>
      </c>
      <c r="AN15" s="30" t="s">
        <v>17</v>
      </c>
      <c r="AO15" s="30" t="s">
        <v>17</v>
      </c>
      <c r="AP15" s="30" t="s">
        <v>17</v>
      </c>
      <c r="AQ15" s="30" t="s">
        <v>17</v>
      </c>
      <c r="AR15" s="30" t="s">
        <v>17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f>(7*AS15)+(7*AT15)+(12*AU15)+(12*AW15)+(12*AX15)</f>
        <v>0</v>
      </c>
      <c r="AZ15" s="30" t="s">
        <v>17</v>
      </c>
      <c r="BA15" s="30" t="s">
        <v>17</v>
      </c>
      <c r="BB15" s="30" t="s">
        <v>17</v>
      </c>
      <c r="BC15" s="30" t="s">
        <v>17</v>
      </c>
      <c r="BD15" s="30" t="s">
        <v>17</v>
      </c>
      <c r="BE15" s="30" t="s">
        <v>17</v>
      </c>
      <c r="BF15" s="30" t="s">
        <v>17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2">
        <f t="shared" si="14"/>
        <v>0</v>
      </c>
      <c r="BO15" s="33">
        <f t="shared" si="14"/>
        <v>0</v>
      </c>
      <c r="BP15" s="34">
        <f t="shared" si="15"/>
        <v>0</v>
      </c>
      <c r="BQ15" s="33">
        <f t="shared" si="16"/>
        <v>0</v>
      </c>
      <c r="BR15" s="33">
        <f t="shared" si="17"/>
        <v>0</v>
      </c>
      <c r="BS15" s="33">
        <f t="shared" si="17"/>
        <v>0</v>
      </c>
      <c r="BT15" s="35">
        <f>SUM(BN15:BS15)</f>
        <v>0</v>
      </c>
      <c r="BU15" s="36">
        <f t="shared" si="18"/>
        <v>0</v>
      </c>
      <c r="BV15" s="3">
        <f t="shared" ref="BV15:BV19" si="19">BU15-180</f>
        <v>-180</v>
      </c>
    </row>
    <row r="16" spans="1:74" x14ac:dyDescent="0.25">
      <c r="A16" s="29" t="s">
        <v>37</v>
      </c>
      <c r="B16" s="30" t="s">
        <v>17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7">
        <f>(7*C16)+(7*D16)+(12*E16)+(12*G16)+(12*H16)</f>
        <v>0</v>
      </c>
      <c r="J16" s="30" t="s">
        <v>17</v>
      </c>
      <c r="K16" s="30" t="s">
        <v>17</v>
      </c>
      <c r="L16" s="30" t="s">
        <v>17</v>
      </c>
      <c r="M16" s="30" t="s">
        <v>17</v>
      </c>
      <c r="N16" s="30" t="s">
        <v>17</v>
      </c>
      <c r="O16" s="30" t="s">
        <v>17</v>
      </c>
      <c r="P16" s="30" t="s">
        <v>17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f>(7*Q16)+(7*R16)+(12*S16)+(12*U16)+(12*V16)</f>
        <v>0</v>
      </c>
      <c r="X16" s="30" t="s">
        <v>17</v>
      </c>
      <c r="Y16" s="30" t="s">
        <v>17</v>
      </c>
      <c r="Z16" s="30" t="s">
        <v>17</v>
      </c>
      <c r="AA16" s="30" t="s">
        <v>17</v>
      </c>
      <c r="AB16" s="30" t="s">
        <v>17</v>
      </c>
      <c r="AC16" s="30" t="s">
        <v>17</v>
      </c>
      <c r="AD16" s="30" t="s">
        <v>17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f>(7*AE16)+(7*AF16)+(12*AG16)+(12*AI16)+(12*AJ16)</f>
        <v>0</v>
      </c>
      <c r="AL16" s="30" t="s">
        <v>17</v>
      </c>
      <c r="AM16" s="30" t="s">
        <v>17</v>
      </c>
      <c r="AN16" s="30" t="s">
        <v>17</v>
      </c>
      <c r="AO16" s="30" t="s">
        <v>17</v>
      </c>
      <c r="AP16" s="30" t="s">
        <v>17</v>
      </c>
      <c r="AQ16" s="30" t="s">
        <v>17</v>
      </c>
      <c r="AR16" s="30" t="s">
        <v>17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f>(7*AS16)+(7*AT16)+(12*AU16)+(12*AW16)+(12*AX16)</f>
        <v>0</v>
      </c>
      <c r="AZ16" s="30" t="s">
        <v>17</v>
      </c>
      <c r="BA16" s="30" t="s">
        <v>17</v>
      </c>
      <c r="BB16" s="30" t="s">
        <v>17</v>
      </c>
      <c r="BC16" s="30" t="s">
        <v>17</v>
      </c>
      <c r="BD16" s="30" t="s">
        <v>17</v>
      </c>
      <c r="BE16" s="30" t="s">
        <v>17</v>
      </c>
      <c r="BF16" s="30" t="s">
        <v>17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2">
        <f t="shared" si="14"/>
        <v>0</v>
      </c>
      <c r="BO16" s="33">
        <f t="shared" si="14"/>
        <v>0</v>
      </c>
      <c r="BP16" s="34">
        <f t="shared" si="15"/>
        <v>0</v>
      </c>
      <c r="BQ16" s="33">
        <f t="shared" si="16"/>
        <v>0</v>
      </c>
      <c r="BR16" s="33">
        <f t="shared" si="17"/>
        <v>0</v>
      </c>
      <c r="BS16" s="33">
        <f t="shared" si="17"/>
        <v>0</v>
      </c>
      <c r="BT16" s="35">
        <f>SUM(BN16:BS16)</f>
        <v>0</v>
      </c>
      <c r="BU16" s="36">
        <f t="shared" si="18"/>
        <v>0</v>
      </c>
      <c r="BV16" s="3">
        <f t="shared" si="19"/>
        <v>-180</v>
      </c>
    </row>
    <row r="17" spans="1:74" x14ac:dyDescent="0.25">
      <c r="A17" s="29" t="s">
        <v>36</v>
      </c>
      <c r="B17" s="30" t="s">
        <v>17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7">
        <f t="shared" si="11"/>
        <v>0</v>
      </c>
      <c r="J17" s="30" t="s">
        <v>17</v>
      </c>
      <c r="K17" s="30" t="s">
        <v>17</v>
      </c>
      <c r="L17" s="30" t="s">
        <v>17</v>
      </c>
      <c r="M17" s="30" t="s">
        <v>17</v>
      </c>
      <c r="N17" s="30" t="s">
        <v>17</v>
      </c>
      <c r="O17" s="30" t="s">
        <v>17</v>
      </c>
      <c r="P17" s="30" t="s">
        <v>17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f t="shared" si="12"/>
        <v>0</v>
      </c>
      <c r="X17" s="30" t="s">
        <v>17</v>
      </c>
      <c r="Y17" s="30" t="s">
        <v>17</v>
      </c>
      <c r="Z17" s="30" t="s">
        <v>17</v>
      </c>
      <c r="AA17" s="30" t="s">
        <v>17</v>
      </c>
      <c r="AB17" s="30" t="s">
        <v>17</v>
      </c>
      <c r="AC17" s="30" t="s">
        <v>17</v>
      </c>
      <c r="AD17" s="30" t="s">
        <v>17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f t="shared" si="13"/>
        <v>0</v>
      </c>
      <c r="AL17" s="30" t="s">
        <v>17</v>
      </c>
      <c r="AM17" s="30" t="s">
        <v>17</v>
      </c>
      <c r="AN17" s="30" t="s">
        <v>17</v>
      </c>
      <c r="AO17" s="30" t="s">
        <v>17</v>
      </c>
      <c r="AP17" s="30" t="s">
        <v>17</v>
      </c>
      <c r="AQ17" s="30" t="s">
        <v>17</v>
      </c>
      <c r="AR17" s="30" t="s">
        <v>17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f t="shared" si="9"/>
        <v>0</v>
      </c>
      <c r="AZ17" s="30" t="s">
        <v>17</v>
      </c>
      <c r="BA17" s="30" t="s">
        <v>17</v>
      </c>
      <c r="BB17" s="30" t="s">
        <v>17</v>
      </c>
      <c r="BC17" s="30" t="s">
        <v>17</v>
      </c>
      <c r="BD17" s="30" t="s">
        <v>17</v>
      </c>
      <c r="BE17" s="30" t="s">
        <v>17</v>
      </c>
      <c r="BF17" s="30" t="s">
        <v>17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2">
        <f t="shared" si="14"/>
        <v>0</v>
      </c>
      <c r="BO17" s="33">
        <f t="shared" si="14"/>
        <v>0</v>
      </c>
      <c r="BP17" s="34">
        <f t="shared" si="15"/>
        <v>0</v>
      </c>
      <c r="BQ17" s="33">
        <f t="shared" si="16"/>
        <v>0</v>
      </c>
      <c r="BR17" s="33">
        <f t="shared" si="17"/>
        <v>0</v>
      </c>
      <c r="BS17" s="33">
        <f t="shared" si="17"/>
        <v>0</v>
      </c>
      <c r="BT17" s="35">
        <f t="shared" si="6"/>
        <v>0</v>
      </c>
      <c r="BU17" s="36">
        <f t="shared" si="18"/>
        <v>0</v>
      </c>
      <c r="BV17" s="3">
        <f t="shared" si="19"/>
        <v>-180</v>
      </c>
    </row>
    <row r="18" spans="1:74" x14ac:dyDescent="0.25">
      <c r="A18" s="29" t="s">
        <v>32</v>
      </c>
      <c r="B18" s="30" t="s">
        <v>17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f>(7*C18)+(7*D18)+(12*E18)+(8*G18)+(12*H18)</f>
        <v>0</v>
      </c>
      <c r="J18" s="30" t="s">
        <v>17</v>
      </c>
      <c r="K18" s="30" t="s">
        <v>17</v>
      </c>
      <c r="L18" s="30" t="s">
        <v>17</v>
      </c>
      <c r="M18" s="30" t="s">
        <v>17</v>
      </c>
      <c r="N18" s="30" t="s">
        <v>17</v>
      </c>
      <c r="O18" s="30" t="s">
        <v>17</v>
      </c>
      <c r="P18" s="30" t="s">
        <v>17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f>(7*Q18)+(7*R18)+(12*S18)+(8*U18)+(12*V18)</f>
        <v>0</v>
      </c>
      <c r="X18" s="30" t="s">
        <v>17</v>
      </c>
      <c r="Y18" s="30" t="s">
        <v>17</v>
      </c>
      <c r="Z18" s="30" t="s">
        <v>17</v>
      </c>
      <c r="AA18" s="30" t="s">
        <v>17</v>
      </c>
      <c r="AB18" s="30" t="s">
        <v>17</v>
      </c>
      <c r="AC18" s="30" t="s">
        <v>17</v>
      </c>
      <c r="AD18" s="30" t="s">
        <v>17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f>(7*AE18)+(7*AF18)+(12*AG18)+(8*AI18)+(12*AJ18)</f>
        <v>0</v>
      </c>
      <c r="AL18" s="30" t="s">
        <v>17</v>
      </c>
      <c r="AM18" s="30" t="s">
        <v>17</v>
      </c>
      <c r="AN18" s="30" t="s">
        <v>17</v>
      </c>
      <c r="AO18" s="30" t="s">
        <v>17</v>
      </c>
      <c r="AP18" s="30" t="s">
        <v>17</v>
      </c>
      <c r="AQ18" s="30" t="s">
        <v>17</v>
      </c>
      <c r="AR18" s="30" t="s">
        <v>17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f>(7*AS18)+(7*AT18)+(12*AU18)+(8*AW18)+(12*AX18)</f>
        <v>0</v>
      </c>
      <c r="AZ18" s="30" t="s">
        <v>17</v>
      </c>
      <c r="BA18" s="30" t="s">
        <v>17</v>
      </c>
      <c r="BB18" s="30" t="s">
        <v>17</v>
      </c>
      <c r="BC18" s="30" t="s">
        <v>17</v>
      </c>
      <c r="BD18" s="30" t="s">
        <v>17</v>
      </c>
      <c r="BE18" s="30" t="s">
        <v>17</v>
      </c>
      <c r="BF18" s="30" t="s">
        <v>17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2">
        <f t="shared" si="14"/>
        <v>0</v>
      </c>
      <c r="BO18" s="33">
        <f t="shared" si="14"/>
        <v>0</v>
      </c>
      <c r="BP18" s="34">
        <f t="shared" si="15"/>
        <v>0</v>
      </c>
      <c r="BQ18" s="33">
        <f t="shared" si="16"/>
        <v>0</v>
      </c>
      <c r="BR18" s="33">
        <f t="shared" si="17"/>
        <v>0</v>
      </c>
      <c r="BS18" s="33">
        <f t="shared" si="17"/>
        <v>0</v>
      </c>
      <c r="BT18" s="35">
        <f t="shared" si="6"/>
        <v>0</v>
      </c>
      <c r="BU18" s="36">
        <f t="shared" si="18"/>
        <v>0</v>
      </c>
      <c r="BV18" s="3">
        <f t="shared" si="19"/>
        <v>-180</v>
      </c>
    </row>
    <row r="19" spans="1:74" x14ac:dyDescent="0.25">
      <c r="A19" s="29" t="s">
        <v>30</v>
      </c>
      <c r="B19" s="30" t="s">
        <v>17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f>(7*C19)+(7*D19)+(12*E19)+(8*G19)+(12*H19)</f>
        <v>0</v>
      </c>
      <c r="J19" s="30" t="s">
        <v>17</v>
      </c>
      <c r="K19" s="30" t="s">
        <v>17</v>
      </c>
      <c r="L19" s="30" t="s">
        <v>17</v>
      </c>
      <c r="M19" s="30" t="s">
        <v>17</v>
      </c>
      <c r="N19" s="30" t="s">
        <v>17</v>
      </c>
      <c r="O19" s="30" t="s">
        <v>17</v>
      </c>
      <c r="P19" s="30" t="s">
        <v>17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f>(7*Q19)+(7*R19)+(12*S19)+(8*U19)+(12*V19)</f>
        <v>0</v>
      </c>
      <c r="X19" s="30" t="s">
        <v>17</v>
      </c>
      <c r="Y19" s="30" t="s">
        <v>17</v>
      </c>
      <c r="Z19" s="30" t="s">
        <v>17</v>
      </c>
      <c r="AA19" s="30" t="s">
        <v>17</v>
      </c>
      <c r="AB19" s="30" t="s">
        <v>17</v>
      </c>
      <c r="AC19" s="30" t="s">
        <v>17</v>
      </c>
      <c r="AD19" s="30" t="s">
        <v>17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f>(7*AE19)+(7*AF19)+(12*AG19)+(8*AI19)+(12*AJ19)</f>
        <v>0</v>
      </c>
      <c r="AL19" s="30" t="s">
        <v>17</v>
      </c>
      <c r="AM19" s="30" t="s">
        <v>17</v>
      </c>
      <c r="AN19" s="30" t="s">
        <v>17</v>
      </c>
      <c r="AO19" s="30" t="s">
        <v>17</v>
      </c>
      <c r="AP19" s="30" t="s">
        <v>17</v>
      </c>
      <c r="AQ19" s="30" t="s">
        <v>17</v>
      </c>
      <c r="AR19" s="30" t="s">
        <v>17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f>(7*AS19)+(7*AT19)+(12*AU19)+(8*AW19)+(12*AX19)</f>
        <v>0</v>
      </c>
      <c r="AZ19" s="30" t="s">
        <v>17</v>
      </c>
      <c r="BA19" s="30" t="s">
        <v>17</v>
      </c>
      <c r="BB19" s="30" t="s">
        <v>17</v>
      </c>
      <c r="BC19" s="30" t="s">
        <v>17</v>
      </c>
      <c r="BD19" s="30" t="s">
        <v>17</v>
      </c>
      <c r="BE19" s="30" t="s">
        <v>17</v>
      </c>
      <c r="BF19" s="30" t="s">
        <v>17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2">
        <f t="shared" si="14"/>
        <v>0</v>
      </c>
      <c r="BO19" s="33">
        <f t="shared" si="14"/>
        <v>0</v>
      </c>
      <c r="BP19" s="34">
        <f t="shared" si="15"/>
        <v>0</v>
      </c>
      <c r="BQ19" s="33">
        <f t="shared" si="16"/>
        <v>0</v>
      </c>
      <c r="BR19" s="33">
        <f t="shared" si="17"/>
        <v>0</v>
      </c>
      <c r="BS19" s="33">
        <f t="shared" si="17"/>
        <v>0</v>
      </c>
      <c r="BT19" s="35">
        <f t="shared" si="6"/>
        <v>0</v>
      </c>
      <c r="BU19" s="36">
        <f t="shared" si="18"/>
        <v>0</v>
      </c>
      <c r="BV19" s="3">
        <f t="shared" si="19"/>
        <v>-180</v>
      </c>
    </row>
    <row r="20" spans="1:74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9"/>
      <c r="BO20" s="39"/>
      <c r="BP20" s="39"/>
      <c r="BQ20" s="39"/>
      <c r="BR20" s="39"/>
      <c r="BS20" s="39"/>
      <c r="BT20" s="36"/>
      <c r="BU20" s="41">
        <f>SUM(BU14:BU19)</f>
        <v>0</v>
      </c>
      <c r="BV20" s="49"/>
    </row>
    <row r="21" spans="1:74" ht="36.75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9"/>
      <c r="BO21" s="39"/>
      <c r="BP21" s="39"/>
      <c r="BQ21" s="39"/>
      <c r="BR21" s="39"/>
      <c r="BS21" s="39"/>
      <c r="BT21" s="40" t="s">
        <v>19</v>
      </c>
      <c r="BU21" s="41">
        <f>BU20+BU13</f>
        <v>0</v>
      </c>
      <c r="BV21" s="4"/>
    </row>
  </sheetData>
  <mergeCells count="9">
    <mergeCell ref="BT1:BT2"/>
    <mergeCell ref="BU1:BU2"/>
    <mergeCell ref="BV1:BV2"/>
    <mergeCell ref="C1:H1"/>
    <mergeCell ref="Q1:V1"/>
    <mergeCell ref="AE1:AJ1"/>
    <mergeCell ref="AS1:AX1"/>
    <mergeCell ref="BG1:BL1"/>
    <mergeCell ref="BN1:BS1"/>
  </mergeCells>
  <pageMargins left="0.7" right="0.7" top="0.75" bottom="0.75" header="0.3" footer="0.3"/>
  <ignoredErrors>
    <ignoredError sqref="BU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7C27-08C8-4AE8-BC10-CC6BD9485BE1}">
  <dimension ref="A1:CF28"/>
  <sheetViews>
    <sheetView tabSelected="1" workbookViewId="0">
      <selection activeCell="I28" sqref="I28"/>
    </sheetView>
  </sheetViews>
  <sheetFormatPr defaultRowHeight="15" x14ac:dyDescent="0.25"/>
  <cols>
    <col min="1" max="1" width="28.7109375" bestFit="1" customWidth="1"/>
    <col min="2" max="2" width="4.42578125" bestFit="1" customWidth="1"/>
    <col min="3" max="3" width="2.42578125" bestFit="1" customWidth="1"/>
    <col min="4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4257812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42578125" bestFit="1" customWidth="1"/>
    <col min="29" max="29" width="4.28515625" bestFit="1" customWidth="1"/>
    <col min="30" max="30" width="4.42578125" bestFit="1" customWidth="1"/>
    <col min="31" max="31" width="2.42578125" bestFit="1" customWidth="1"/>
    <col min="32" max="35" width="2.140625" bestFit="1" customWidth="1"/>
    <col min="36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5" width="2.42578125" bestFit="1" customWidth="1"/>
    <col min="46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4.28515625" bestFit="1" customWidth="1"/>
    <col min="56" max="56" width="3.42578125" bestFit="1" customWidth="1"/>
    <col min="57" max="57" width="4.28515625" bestFit="1" customWidth="1"/>
    <col min="58" max="58" width="4.42578125" bestFit="1" customWidth="1"/>
    <col min="59" max="59" width="2.42578125" bestFit="1" customWidth="1"/>
    <col min="60" max="63" width="2.140625" bestFit="1" customWidth="1"/>
    <col min="64" max="64" width="2" bestFit="1" customWidth="1"/>
    <col min="65" max="65" width="4.42578125" bestFit="1" customWidth="1"/>
    <col min="66" max="66" width="4.85546875" bestFit="1" customWidth="1"/>
    <col min="67" max="67" width="4.140625" bestFit="1" customWidth="1"/>
    <col min="68" max="68" width="2.42578125" bestFit="1" customWidth="1"/>
    <col min="69" max="72" width="2.140625" bestFit="1" customWidth="1"/>
    <col min="73" max="73" width="2" bestFit="1" customWidth="1"/>
    <col min="74" max="74" width="4.42578125" bestFit="1" customWidth="1"/>
    <col min="75" max="75" width="2.42578125" bestFit="1" customWidth="1"/>
    <col min="76" max="76" width="2.140625" bestFit="1" customWidth="1"/>
    <col min="77" max="80" width="3" bestFit="1" customWidth="1"/>
    <col min="81" max="81" width="7.42578125" customWidth="1"/>
    <col min="82" max="82" width="6.5703125" customWidth="1"/>
    <col min="83" max="83" width="4.140625" bestFit="1" customWidth="1"/>
  </cols>
  <sheetData>
    <row r="1" spans="1:84" x14ac:dyDescent="0.25">
      <c r="A1" s="67" t="s">
        <v>0</v>
      </c>
      <c r="B1" s="8" t="s">
        <v>3</v>
      </c>
      <c r="C1" s="80" t="s">
        <v>4</v>
      </c>
      <c r="D1" s="80"/>
      <c r="E1" s="80"/>
      <c r="F1" s="80"/>
      <c r="G1" s="80"/>
      <c r="H1" s="80"/>
      <c r="I1" s="9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</v>
      </c>
      <c r="O1" s="8" t="s">
        <v>2</v>
      </c>
      <c r="P1" s="8" t="s">
        <v>3</v>
      </c>
      <c r="Q1" s="80" t="s">
        <v>4</v>
      </c>
      <c r="R1" s="80"/>
      <c r="S1" s="80"/>
      <c r="T1" s="80"/>
      <c r="U1" s="80"/>
      <c r="V1" s="80"/>
      <c r="W1" s="9" t="s">
        <v>5</v>
      </c>
      <c r="X1" s="7" t="s">
        <v>6</v>
      </c>
      <c r="Y1" s="7" t="s">
        <v>7</v>
      </c>
      <c r="Z1" s="7" t="s">
        <v>8</v>
      </c>
      <c r="AA1" s="7" t="s">
        <v>9</v>
      </c>
      <c r="AB1" s="7" t="s">
        <v>1</v>
      </c>
      <c r="AC1" s="8" t="s">
        <v>2</v>
      </c>
      <c r="AD1" s="8" t="s">
        <v>3</v>
      </c>
      <c r="AE1" s="80" t="s">
        <v>4</v>
      </c>
      <c r="AF1" s="80"/>
      <c r="AG1" s="80"/>
      <c r="AH1" s="80"/>
      <c r="AI1" s="80"/>
      <c r="AJ1" s="80"/>
      <c r="AK1" s="9" t="s">
        <v>5</v>
      </c>
      <c r="AL1" s="7" t="s">
        <v>6</v>
      </c>
      <c r="AM1" s="7" t="s">
        <v>7</v>
      </c>
      <c r="AN1" s="7" t="s">
        <v>8</v>
      </c>
      <c r="AO1" s="7" t="s">
        <v>9</v>
      </c>
      <c r="AP1" s="7" t="s">
        <v>1</v>
      </c>
      <c r="AQ1" s="8" t="s">
        <v>2</v>
      </c>
      <c r="AR1" s="8" t="s">
        <v>3</v>
      </c>
      <c r="AS1" s="80" t="s">
        <v>4</v>
      </c>
      <c r="AT1" s="80"/>
      <c r="AU1" s="80"/>
      <c r="AV1" s="80"/>
      <c r="AW1" s="80"/>
      <c r="AX1" s="80"/>
      <c r="AY1" s="9" t="s">
        <v>5</v>
      </c>
      <c r="AZ1" s="7" t="s">
        <v>6</v>
      </c>
      <c r="BA1" s="7" t="s">
        <v>7</v>
      </c>
      <c r="BB1" s="7" t="s">
        <v>8</v>
      </c>
      <c r="BC1" s="7" t="s">
        <v>9</v>
      </c>
      <c r="BD1" s="7" t="s">
        <v>1</v>
      </c>
      <c r="BE1" s="8" t="s">
        <v>2</v>
      </c>
      <c r="BF1" s="8" t="s">
        <v>3</v>
      </c>
      <c r="BG1" s="80" t="s">
        <v>4</v>
      </c>
      <c r="BH1" s="80"/>
      <c r="BI1" s="80"/>
      <c r="BJ1" s="80"/>
      <c r="BK1" s="80"/>
      <c r="BL1" s="80"/>
      <c r="BM1" s="9" t="s">
        <v>5</v>
      </c>
      <c r="BN1" s="7" t="s">
        <v>6</v>
      </c>
      <c r="BO1" s="7" t="s">
        <v>7</v>
      </c>
      <c r="BP1" s="80" t="s">
        <v>4</v>
      </c>
      <c r="BQ1" s="80"/>
      <c r="BR1" s="80"/>
      <c r="BS1" s="80"/>
      <c r="BT1" s="80"/>
      <c r="BU1" s="80"/>
      <c r="BV1" s="9" t="s">
        <v>5</v>
      </c>
      <c r="BW1" s="91" t="s">
        <v>4</v>
      </c>
      <c r="BX1" s="91"/>
      <c r="BY1" s="91"/>
      <c r="BZ1" s="91"/>
      <c r="CA1" s="91"/>
      <c r="CB1" s="91"/>
      <c r="CC1" s="84" t="s">
        <v>10</v>
      </c>
      <c r="CD1" s="84" t="s">
        <v>11</v>
      </c>
      <c r="CE1" s="90" t="s">
        <v>12</v>
      </c>
    </row>
    <row r="2" spans="1:84" x14ac:dyDescent="0.25">
      <c r="A2" s="11" t="s">
        <v>26</v>
      </c>
      <c r="B2" s="12">
        <v>1</v>
      </c>
      <c r="C2" s="13" t="s">
        <v>13</v>
      </c>
      <c r="D2" s="13" t="s">
        <v>14</v>
      </c>
      <c r="E2" s="13" t="s">
        <v>16</v>
      </c>
      <c r="F2" s="13" t="s">
        <v>15</v>
      </c>
      <c r="G2" s="13" t="s">
        <v>22</v>
      </c>
      <c r="H2" s="13" t="s">
        <v>18</v>
      </c>
      <c r="I2" s="14"/>
      <c r="J2" s="11">
        <v>2</v>
      </c>
      <c r="K2" s="11">
        <v>3</v>
      </c>
      <c r="L2" s="11">
        <v>4</v>
      </c>
      <c r="M2" s="11">
        <v>5</v>
      </c>
      <c r="N2" s="11">
        <v>6</v>
      </c>
      <c r="O2" s="12">
        <v>7</v>
      </c>
      <c r="P2" s="12">
        <v>8</v>
      </c>
      <c r="Q2" s="13" t="s">
        <v>13</v>
      </c>
      <c r="R2" s="13" t="s">
        <v>14</v>
      </c>
      <c r="S2" s="13" t="s">
        <v>16</v>
      </c>
      <c r="T2" s="13" t="s">
        <v>15</v>
      </c>
      <c r="U2" s="13" t="s">
        <v>22</v>
      </c>
      <c r="V2" s="13" t="s">
        <v>18</v>
      </c>
      <c r="W2" s="14"/>
      <c r="X2" s="11">
        <v>9</v>
      </c>
      <c r="Y2" s="11">
        <v>10</v>
      </c>
      <c r="Z2" s="11">
        <v>11</v>
      </c>
      <c r="AA2" s="11">
        <v>12</v>
      </c>
      <c r="AB2" s="11">
        <v>13</v>
      </c>
      <c r="AC2" s="12">
        <v>14</v>
      </c>
      <c r="AD2" s="12">
        <v>15</v>
      </c>
      <c r="AE2" s="13" t="s">
        <v>13</v>
      </c>
      <c r="AF2" s="13" t="s">
        <v>14</v>
      </c>
      <c r="AG2" s="13" t="s">
        <v>16</v>
      </c>
      <c r="AH2" s="13" t="s">
        <v>15</v>
      </c>
      <c r="AI2" s="13" t="s">
        <v>22</v>
      </c>
      <c r="AJ2" s="13" t="s">
        <v>18</v>
      </c>
      <c r="AK2" s="14"/>
      <c r="AL2" s="11">
        <v>16</v>
      </c>
      <c r="AM2" s="11">
        <v>17</v>
      </c>
      <c r="AN2" s="11">
        <v>18</v>
      </c>
      <c r="AO2" s="11">
        <v>19</v>
      </c>
      <c r="AP2" s="11">
        <v>20</v>
      </c>
      <c r="AQ2" s="12">
        <v>21</v>
      </c>
      <c r="AR2" s="12">
        <v>22</v>
      </c>
      <c r="AS2" s="13" t="s">
        <v>13</v>
      </c>
      <c r="AT2" s="13" t="s">
        <v>14</v>
      </c>
      <c r="AU2" s="13" t="s">
        <v>16</v>
      </c>
      <c r="AV2" s="13" t="s">
        <v>15</v>
      </c>
      <c r="AW2" s="13" t="s">
        <v>22</v>
      </c>
      <c r="AX2" s="13" t="s">
        <v>18</v>
      </c>
      <c r="AY2" s="14"/>
      <c r="AZ2" s="11">
        <v>23</v>
      </c>
      <c r="BA2" s="11">
        <v>24</v>
      </c>
      <c r="BB2" s="11">
        <v>25</v>
      </c>
      <c r="BC2" s="11">
        <v>26</v>
      </c>
      <c r="BD2" s="11">
        <v>27</v>
      </c>
      <c r="BE2" s="12">
        <v>28</v>
      </c>
      <c r="BF2" s="12">
        <v>29</v>
      </c>
      <c r="BG2" s="13" t="s">
        <v>13</v>
      </c>
      <c r="BH2" s="13" t="s">
        <v>14</v>
      </c>
      <c r="BI2" s="13" t="s">
        <v>16</v>
      </c>
      <c r="BJ2" s="13" t="s">
        <v>15</v>
      </c>
      <c r="BK2" s="13" t="s">
        <v>22</v>
      </c>
      <c r="BL2" s="13" t="s">
        <v>18</v>
      </c>
      <c r="BM2" s="14"/>
      <c r="BN2" s="11">
        <v>30</v>
      </c>
      <c r="BO2" s="11">
        <v>31</v>
      </c>
      <c r="BP2" s="13" t="s">
        <v>13</v>
      </c>
      <c r="BQ2" s="13" t="s">
        <v>14</v>
      </c>
      <c r="BR2" s="13" t="s">
        <v>16</v>
      </c>
      <c r="BS2" s="13" t="s">
        <v>15</v>
      </c>
      <c r="BT2" s="13" t="s">
        <v>22</v>
      </c>
      <c r="BU2" s="13" t="s">
        <v>18</v>
      </c>
      <c r="BV2" s="14"/>
      <c r="BW2" s="68" t="s">
        <v>13</v>
      </c>
      <c r="BX2" s="68" t="s">
        <v>14</v>
      </c>
      <c r="BY2" s="68" t="s">
        <v>15</v>
      </c>
      <c r="BZ2" s="68" t="s">
        <v>16</v>
      </c>
      <c r="CA2" s="68" t="s">
        <v>22</v>
      </c>
      <c r="CB2" s="68" t="s">
        <v>18</v>
      </c>
      <c r="CC2" s="84"/>
      <c r="CD2" s="84"/>
      <c r="CE2" s="90"/>
    </row>
    <row r="3" spans="1:84" x14ac:dyDescent="0.25">
      <c r="A3" s="53" t="s">
        <v>31</v>
      </c>
      <c r="B3" s="20" t="s">
        <v>17</v>
      </c>
      <c r="C3" s="21">
        <v>0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14">
        <f>(7*C3)+(7*D3)+(12*E3)+(9*F3)+(12*G3)+(12*H3)</f>
        <v>0</v>
      </c>
      <c r="J3" s="53" t="s">
        <v>15</v>
      </c>
      <c r="K3" s="53" t="s">
        <v>15</v>
      </c>
      <c r="L3" s="53" t="s">
        <v>15</v>
      </c>
      <c r="M3" s="53" t="s">
        <v>15</v>
      </c>
      <c r="N3" s="53" t="s">
        <v>15</v>
      </c>
      <c r="O3" s="20" t="s">
        <v>17</v>
      </c>
      <c r="P3" s="20" t="s">
        <v>17</v>
      </c>
      <c r="Q3" s="21">
        <v>0</v>
      </c>
      <c r="R3" s="21">
        <v>0</v>
      </c>
      <c r="S3" s="21">
        <v>0</v>
      </c>
      <c r="T3" s="21">
        <v>5</v>
      </c>
      <c r="U3" s="21">
        <v>0</v>
      </c>
      <c r="V3" s="21">
        <v>0</v>
      </c>
      <c r="W3" s="14">
        <f>(7*Q3)+(7*R3)+(12*S3)+(9*T3)+(12*U3)+(12*V3)</f>
        <v>45</v>
      </c>
      <c r="X3" s="53" t="s">
        <v>15</v>
      </c>
      <c r="Y3" s="53" t="s">
        <v>15</v>
      </c>
      <c r="Z3" s="53" t="s">
        <v>15</v>
      </c>
      <c r="AA3" s="53" t="s">
        <v>15</v>
      </c>
      <c r="AB3" s="53" t="s">
        <v>15</v>
      </c>
      <c r="AC3" s="20" t="s">
        <v>17</v>
      </c>
      <c r="AD3" s="20" t="s">
        <v>17</v>
      </c>
      <c r="AE3" s="21">
        <v>0</v>
      </c>
      <c r="AF3" s="21">
        <v>0</v>
      </c>
      <c r="AG3" s="21">
        <v>0</v>
      </c>
      <c r="AH3" s="21">
        <v>5</v>
      </c>
      <c r="AI3" s="21">
        <v>0</v>
      </c>
      <c r="AJ3" s="21">
        <v>0</v>
      </c>
      <c r="AK3" s="14">
        <f>(7*AE3)+(7*AF3)+(12*AG3)+(9*AH3)+(12*AI3)+(12*AJ3)</f>
        <v>45</v>
      </c>
      <c r="AL3" s="53" t="s">
        <v>15</v>
      </c>
      <c r="AM3" s="53" t="s">
        <v>15</v>
      </c>
      <c r="AN3" s="53" t="s">
        <v>15</v>
      </c>
      <c r="AO3" s="53" t="s">
        <v>15</v>
      </c>
      <c r="AP3" s="53" t="s">
        <v>15</v>
      </c>
      <c r="AQ3" s="20" t="s">
        <v>17</v>
      </c>
      <c r="AR3" s="20" t="s">
        <v>17</v>
      </c>
      <c r="AS3" s="21">
        <v>0</v>
      </c>
      <c r="AT3" s="21">
        <v>0</v>
      </c>
      <c r="AU3" s="21">
        <v>0</v>
      </c>
      <c r="AV3" s="21">
        <v>5</v>
      </c>
      <c r="AW3" s="21">
        <v>0</v>
      </c>
      <c r="AX3" s="21">
        <v>0</v>
      </c>
      <c r="AY3" s="14">
        <f>(7*AS3)+(7*AT3)+(12*AU3)+(9*AV3)+(12*AW3)+(12*AX3)</f>
        <v>45</v>
      </c>
      <c r="AZ3" s="53" t="s">
        <v>15</v>
      </c>
      <c r="BA3" s="53" t="s">
        <v>15</v>
      </c>
      <c r="BB3" s="53" t="s">
        <v>15</v>
      </c>
      <c r="BC3" s="53" t="s">
        <v>15</v>
      </c>
      <c r="BD3" s="53" t="s">
        <v>15</v>
      </c>
      <c r="BE3" s="20" t="s">
        <v>17</v>
      </c>
      <c r="BF3" s="20" t="s">
        <v>17</v>
      </c>
      <c r="BG3" s="21">
        <v>0</v>
      </c>
      <c r="BH3" s="21">
        <v>0</v>
      </c>
      <c r="BI3" s="21">
        <v>0</v>
      </c>
      <c r="BJ3" s="21">
        <v>5</v>
      </c>
      <c r="BK3" s="21">
        <v>0</v>
      </c>
      <c r="BL3" s="21">
        <v>0</v>
      </c>
      <c r="BM3" s="14">
        <f>(7*BG3)+(7*BH3)+(12*BI3)+(9*BJ3)+(12*BK3)+(12*BL3)</f>
        <v>45</v>
      </c>
      <c r="BN3" s="53" t="s">
        <v>15</v>
      </c>
      <c r="BO3" s="53" t="s">
        <v>15</v>
      </c>
      <c r="BP3" s="21">
        <v>0</v>
      </c>
      <c r="BQ3" s="21">
        <v>0</v>
      </c>
      <c r="BR3" s="21">
        <v>0</v>
      </c>
      <c r="BS3" s="21">
        <v>2</v>
      </c>
      <c r="BT3" s="21">
        <v>0</v>
      </c>
      <c r="BU3" s="21">
        <v>0</v>
      </c>
      <c r="BV3" s="14">
        <f>(7*BP3)+(7*BQ3)+(12*BR3)+(9*BS3)+(12*BT3)+(12*BU3)</f>
        <v>18</v>
      </c>
      <c r="BW3" s="69">
        <f>SUM(C3,Q3,AE3,AS3,BG3)</f>
        <v>0</v>
      </c>
      <c r="BX3" s="69">
        <f t="shared" ref="BX3:BX7" si="0">SUM(D3,R3,AF3,AT3,BH3,BQ3)</f>
        <v>0</v>
      </c>
      <c r="BY3" s="69">
        <f>SUM(F3,T3,AH3,AV3,BJ3,BS3)</f>
        <v>22</v>
      </c>
      <c r="BZ3" s="69">
        <f t="shared" ref="BZ3" si="1">SUM(E3,S3,AG3,AU3,BI3)</f>
        <v>0</v>
      </c>
      <c r="CA3" s="69">
        <f>SUM(G3,U3,AI3,AW3,BK3)</f>
        <v>0</v>
      </c>
      <c r="CB3" s="69">
        <f>SUM(H3,V3,AJ3,AX3,BL3)</f>
        <v>0</v>
      </c>
      <c r="CC3" s="51">
        <f t="shared" ref="CC3:CC19" si="2">SUM(BW3:CB3)</f>
        <v>22</v>
      </c>
      <c r="CD3" s="25">
        <f t="shared" ref="CD3:CD9" si="3">SUM(I3,W3,AK3,AY3,BM3,BV3)</f>
        <v>198</v>
      </c>
      <c r="CE3" s="70">
        <f t="shared" ref="CE3:CE12" si="4">CD3-180</f>
        <v>18</v>
      </c>
    </row>
    <row r="4" spans="1:84" x14ac:dyDescent="0.25">
      <c r="A4" s="53" t="s">
        <v>20</v>
      </c>
      <c r="B4" s="54" t="s">
        <v>18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1</v>
      </c>
      <c r="I4" s="14">
        <f>(7*C4)+(7*D4)+(12*E4)+(12*G4)+(12*H4)</f>
        <v>12</v>
      </c>
      <c r="J4" s="53" t="s">
        <v>18</v>
      </c>
      <c r="K4" s="53" t="s">
        <v>18</v>
      </c>
      <c r="L4" s="53" t="s">
        <v>42</v>
      </c>
      <c r="M4" s="26" t="s">
        <v>17</v>
      </c>
      <c r="N4" s="26" t="s">
        <v>17</v>
      </c>
      <c r="O4" s="20" t="s">
        <v>17</v>
      </c>
      <c r="P4" s="54" t="s">
        <v>18</v>
      </c>
      <c r="Q4" s="21">
        <v>0</v>
      </c>
      <c r="R4" s="21">
        <v>0</v>
      </c>
      <c r="S4" s="21">
        <v>1</v>
      </c>
      <c r="T4" s="21">
        <v>0</v>
      </c>
      <c r="U4" s="21">
        <v>0</v>
      </c>
      <c r="V4" s="21">
        <v>4</v>
      </c>
      <c r="W4" s="14">
        <f>(7*Q4)+(7*R4)+(12*S4)+(12*U4)+(12*V4)</f>
        <v>60</v>
      </c>
      <c r="X4" s="53" t="s">
        <v>18</v>
      </c>
      <c r="Y4" s="53" t="s">
        <v>18</v>
      </c>
      <c r="Z4" s="53" t="s">
        <v>42</v>
      </c>
      <c r="AA4" s="26" t="s">
        <v>17</v>
      </c>
      <c r="AB4" s="26" t="s">
        <v>17</v>
      </c>
      <c r="AC4" s="20" t="s">
        <v>17</v>
      </c>
      <c r="AD4" s="20" t="s">
        <v>17</v>
      </c>
      <c r="AE4" s="21">
        <v>0</v>
      </c>
      <c r="AF4" s="21">
        <v>0</v>
      </c>
      <c r="AG4" s="21">
        <v>1</v>
      </c>
      <c r="AH4" s="21">
        <v>0</v>
      </c>
      <c r="AI4" s="21">
        <v>0</v>
      </c>
      <c r="AJ4" s="21">
        <v>3</v>
      </c>
      <c r="AK4" s="14">
        <f>(7*AE4)+(7*AF4)+(12*AG4)+(12*AI4)+(12*AJ4)</f>
        <v>48</v>
      </c>
      <c r="AL4" s="53" t="s">
        <v>18</v>
      </c>
      <c r="AM4" s="53" t="s">
        <v>18</v>
      </c>
      <c r="AN4" s="53" t="s">
        <v>42</v>
      </c>
      <c r="AO4" s="26" t="s">
        <v>17</v>
      </c>
      <c r="AP4" s="26" t="s">
        <v>17</v>
      </c>
      <c r="AQ4" s="20" t="s">
        <v>17</v>
      </c>
      <c r="AR4" s="20" t="s">
        <v>17</v>
      </c>
      <c r="AS4" s="21">
        <v>0</v>
      </c>
      <c r="AT4" s="21">
        <v>0</v>
      </c>
      <c r="AU4" s="21">
        <v>1</v>
      </c>
      <c r="AV4" s="21">
        <v>0</v>
      </c>
      <c r="AW4" s="21">
        <v>0</v>
      </c>
      <c r="AX4" s="21">
        <v>3</v>
      </c>
      <c r="AY4" s="14">
        <f t="shared" ref="AY4:AY17" si="5">(7*AS4)+(7*AT4)+(12*AU4)+(12*AW4)+(12*AX4)</f>
        <v>48</v>
      </c>
      <c r="AZ4" s="53" t="s">
        <v>18</v>
      </c>
      <c r="BA4" s="53" t="s">
        <v>18</v>
      </c>
      <c r="BB4" s="53" t="s">
        <v>42</v>
      </c>
      <c r="BC4" s="26" t="s">
        <v>17</v>
      </c>
      <c r="BD4" s="26" t="s">
        <v>17</v>
      </c>
      <c r="BE4" s="20" t="s">
        <v>17</v>
      </c>
      <c r="BF4" s="54" t="s">
        <v>18</v>
      </c>
      <c r="BG4" s="21">
        <v>0</v>
      </c>
      <c r="BH4" s="21">
        <v>0</v>
      </c>
      <c r="BI4" s="21">
        <v>1</v>
      </c>
      <c r="BJ4" s="21">
        <v>0</v>
      </c>
      <c r="BK4" s="21">
        <v>0</v>
      </c>
      <c r="BL4" s="21">
        <v>4</v>
      </c>
      <c r="BM4" s="14">
        <f t="shared" ref="BM4:BM12" si="6">(7*BG4)+(7*BH4)+(12*BI4)+(12*BK4)+(12*BL4)</f>
        <v>60</v>
      </c>
      <c r="BN4" s="53" t="s">
        <v>18</v>
      </c>
      <c r="BO4" s="53" t="s">
        <v>18</v>
      </c>
      <c r="BP4" s="21">
        <v>0</v>
      </c>
      <c r="BQ4" s="21">
        <v>0</v>
      </c>
      <c r="BR4" s="21">
        <v>0</v>
      </c>
      <c r="BS4" s="21">
        <v>0</v>
      </c>
      <c r="BT4" s="21">
        <v>0</v>
      </c>
      <c r="BU4" s="21">
        <v>2</v>
      </c>
      <c r="BV4" s="14">
        <f t="shared" ref="BV4:BV12" si="7">(7*BP4)+(7*BQ4)+(12*BR4)+(12*BT4)+(12*BU4)</f>
        <v>24</v>
      </c>
      <c r="BW4" s="69">
        <f>SUM(C4,Q4,AE4,AS4,BG4)</f>
        <v>0</v>
      </c>
      <c r="BX4" s="69">
        <f t="shared" si="0"/>
        <v>0</v>
      </c>
      <c r="BY4" s="69">
        <f t="shared" ref="BY4:BY12" si="8">SUM(F4,T4,AH4,AV4,BJ4,BS4)</f>
        <v>0</v>
      </c>
      <c r="BZ4" s="69">
        <f>SUM(E4,S4,AG4,AU4,BI4,BR4)</f>
        <v>4</v>
      </c>
      <c r="CA4" s="69">
        <f t="shared" ref="CA4:CA11" si="9">SUM(G4,U4,AI4,AW4,BK4)</f>
        <v>0</v>
      </c>
      <c r="CB4" s="69">
        <f>SUM(H4,V4,AJ4,AX4,BL4,BU4)</f>
        <v>17</v>
      </c>
      <c r="CC4" s="51">
        <f t="shared" si="2"/>
        <v>21</v>
      </c>
      <c r="CD4" s="25">
        <f t="shared" si="3"/>
        <v>252</v>
      </c>
      <c r="CE4" s="70">
        <f t="shared" si="4"/>
        <v>72</v>
      </c>
    </row>
    <row r="5" spans="1:84" x14ac:dyDescent="0.25">
      <c r="A5" s="53" t="s">
        <v>34</v>
      </c>
      <c r="B5" s="20" t="s">
        <v>17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14">
        <f>(7*C5)+(7*D5)+(12*E5)+(12*G5)+(12*H5)</f>
        <v>0</v>
      </c>
      <c r="J5" s="26" t="s">
        <v>17</v>
      </c>
      <c r="K5" s="56" t="s">
        <v>16</v>
      </c>
      <c r="L5" s="56" t="s">
        <v>16</v>
      </c>
      <c r="M5" s="56" t="s">
        <v>16</v>
      </c>
      <c r="N5" s="26" t="s">
        <v>17</v>
      </c>
      <c r="O5" s="54" t="s">
        <v>18</v>
      </c>
      <c r="P5" s="20" t="s">
        <v>17</v>
      </c>
      <c r="Q5" s="21">
        <v>0</v>
      </c>
      <c r="R5" s="21">
        <v>0</v>
      </c>
      <c r="S5" s="21">
        <v>3</v>
      </c>
      <c r="T5" s="21">
        <v>0</v>
      </c>
      <c r="U5" s="21">
        <v>0</v>
      </c>
      <c r="V5" s="21">
        <v>1</v>
      </c>
      <c r="W5" s="14">
        <f>(7*Q5)+(7*R5)+(12*S5)+(12*U5)+(12*V5)</f>
        <v>48</v>
      </c>
      <c r="X5" s="26" t="s">
        <v>17</v>
      </c>
      <c r="Y5" s="56" t="s">
        <v>16</v>
      </c>
      <c r="Z5" s="56" t="s">
        <v>16</v>
      </c>
      <c r="AA5" s="26" t="s">
        <v>17</v>
      </c>
      <c r="AB5" s="26" t="s">
        <v>17</v>
      </c>
      <c r="AC5" s="54" t="s">
        <v>18</v>
      </c>
      <c r="AD5" s="20" t="s">
        <v>17</v>
      </c>
      <c r="AE5" s="21">
        <v>0</v>
      </c>
      <c r="AF5" s="21">
        <v>0</v>
      </c>
      <c r="AG5" s="21">
        <v>2</v>
      </c>
      <c r="AH5" s="21">
        <v>0</v>
      </c>
      <c r="AI5" s="21">
        <v>0</v>
      </c>
      <c r="AJ5" s="21">
        <v>1</v>
      </c>
      <c r="AK5" s="14">
        <f>(7*AE5)+(7*AF5)+(12*AG5)+(12*AI5)+(12*AJ5)</f>
        <v>36</v>
      </c>
      <c r="AL5" s="26" t="s">
        <v>17</v>
      </c>
      <c r="AM5" s="56" t="s">
        <v>16</v>
      </c>
      <c r="AN5" s="56" t="s">
        <v>16</v>
      </c>
      <c r="AO5" s="56" t="s">
        <v>16</v>
      </c>
      <c r="AP5" s="26" t="s">
        <v>17</v>
      </c>
      <c r="AQ5" s="20" t="s">
        <v>17</v>
      </c>
      <c r="AR5" s="20" t="s">
        <v>17</v>
      </c>
      <c r="AS5" s="21">
        <v>0</v>
      </c>
      <c r="AT5" s="21">
        <v>0</v>
      </c>
      <c r="AU5" s="21">
        <v>3</v>
      </c>
      <c r="AV5" s="21">
        <v>0</v>
      </c>
      <c r="AW5" s="21">
        <v>0</v>
      </c>
      <c r="AX5" s="21">
        <v>0</v>
      </c>
      <c r="AY5" s="14">
        <f t="shared" si="5"/>
        <v>36</v>
      </c>
      <c r="AZ5" s="26" t="s">
        <v>17</v>
      </c>
      <c r="BA5" s="56" t="s">
        <v>16</v>
      </c>
      <c r="BB5" s="26" t="s">
        <v>17</v>
      </c>
      <c r="BC5" s="56" t="s">
        <v>16</v>
      </c>
      <c r="BD5" s="56" t="s">
        <v>16</v>
      </c>
      <c r="BE5" s="57" t="s">
        <v>16</v>
      </c>
      <c r="BF5" s="57" t="s">
        <v>16</v>
      </c>
      <c r="BG5" s="21">
        <v>0</v>
      </c>
      <c r="BH5" s="21">
        <v>0</v>
      </c>
      <c r="BI5" s="21">
        <v>5</v>
      </c>
      <c r="BJ5" s="21">
        <v>0</v>
      </c>
      <c r="BK5" s="21">
        <v>0</v>
      </c>
      <c r="BL5" s="21">
        <v>0</v>
      </c>
      <c r="BM5" s="14">
        <f t="shared" si="6"/>
        <v>60</v>
      </c>
      <c r="BN5" s="26" t="s">
        <v>17</v>
      </c>
      <c r="BO5" s="26" t="s">
        <v>17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14">
        <f t="shared" si="7"/>
        <v>0</v>
      </c>
      <c r="BW5" s="69">
        <f>SUM(C5,Q5,AE5,AS5,BG5)</f>
        <v>0</v>
      </c>
      <c r="BX5" s="69">
        <f t="shared" si="0"/>
        <v>0</v>
      </c>
      <c r="BY5" s="69">
        <f t="shared" si="8"/>
        <v>0</v>
      </c>
      <c r="BZ5" s="69">
        <f t="shared" ref="BZ5:BZ12" si="10">SUM(E5,S5,AG5,AU5,BI5,BR5)</f>
        <v>13</v>
      </c>
      <c r="CA5" s="69">
        <f t="shared" si="9"/>
        <v>0</v>
      </c>
      <c r="CB5" s="69">
        <f t="shared" ref="CB5:CB12" si="11">SUM(H5,V5,AJ5,AX5,BL5,BU5)</f>
        <v>2</v>
      </c>
      <c r="CC5" s="51">
        <f t="shared" si="2"/>
        <v>15</v>
      </c>
      <c r="CD5" s="25">
        <f t="shared" si="3"/>
        <v>180</v>
      </c>
      <c r="CE5" s="70">
        <f t="shared" si="4"/>
        <v>0</v>
      </c>
    </row>
    <row r="6" spans="1:84" x14ac:dyDescent="0.25">
      <c r="A6" s="53" t="s">
        <v>21</v>
      </c>
      <c r="B6" s="20" t="s">
        <v>17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14">
        <f>(7*C6)+(7*D6)+(12*E6)+(12*G6)+(12*H6)</f>
        <v>0</v>
      </c>
      <c r="J6" s="53" t="s">
        <v>18</v>
      </c>
      <c r="K6" s="56" t="s">
        <v>16</v>
      </c>
      <c r="L6" s="26" t="s">
        <v>17</v>
      </c>
      <c r="M6" s="26" t="s">
        <v>17</v>
      </c>
      <c r="N6" s="26" t="s">
        <v>17</v>
      </c>
      <c r="O6" s="20" t="s">
        <v>17</v>
      </c>
      <c r="P6" s="54" t="s">
        <v>18</v>
      </c>
      <c r="Q6" s="21">
        <v>0</v>
      </c>
      <c r="R6" s="21">
        <v>0</v>
      </c>
      <c r="S6" s="21">
        <v>1</v>
      </c>
      <c r="T6" s="21">
        <v>0</v>
      </c>
      <c r="U6" s="21">
        <v>0</v>
      </c>
      <c r="V6" s="21">
        <v>2</v>
      </c>
      <c r="W6" s="14">
        <f>(7*Q6)+(7*R6)+(12*S6)+(12*U6)+(12*V6)</f>
        <v>36</v>
      </c>
      <c r="X6" s="53" t="s">
        <v>18</v>
      </c>
      <c r="Y6" s="56" t="s">
        <v>16</v>
      </c>
      <c r="Z6" s="26" t="s">
        <v>17</v>
      </c>
      <c r="AA6" s="26" t="s">
        <v>17</v>
      </c>
      <c r="AB6" s="26" t="s">
        <v>17</v>
      </c>
      <c r="AC6" s="20" t="s">
        <v>17</v>
      </c>
      <c r="AD6" s="20" t="s">
        <v>17</v>
      </c>
      <c r="AE6" s="21">
        <v>0</v>
      </c>
      <c r="AF6" s="21">
        <v>0</v>
      </c>
      <c r="AG6" s="21">
        <v>1</v>
      </c>
      <c r="AH6" s="21">
        <v>0</v>
      </c>
      <c r="AI6" s="21">
        <v>0</v>
      </c>
      <c r="AJ6" s="21">
        <v>1</v>
      </c>
      <c r="AK6" s="14">
        <f>(7*AE6)+(7*AF6)+(12*AG6)+(12*AI6)+(12*AJ6)</f>
        <v>24</v>
      </c>
      <c r="AL6" s="53" t="s">
        <v>18</v>
      </c>
      <c r="AM6" s="56" t="s">
        <v>16</v>
      </c>
      <c r="AN6" s="26" t="s">
        <v>17</v>
      </c>
      <c r="AO6" s="73" t="s">
        <v>22</v>
      </c>
      <c r="AP6" s="56" t="s">
        <v>16</v>
      </c>
      <c r="AQ6" s="74" t="s">
        <v>22</v>
      </c>
      <c r="AR6" s="74" t="s">
        <v>22</v>
      </c>
      <c r="AS6" s="21">
        <v>0</v>
      </c>
      <c r="AT6" s="21">
        <v>0</v>
      </c>
      <c r="AU6" s="21">
        <v>2</v>
      </c>
      <c r="AV6" s="21">
        <v>0</v>
      </c>
      <c r="AW6" s="21">
        <v>3</v>
      </c>
      <c r="AX6" s="21">
        <v>1</v>
      </c>
      <c r="AY6" s="14">
        <f t="shared" si="5"/>
        <v>72</v>
      </c>
      <c r="AZ6" s="53" t="s">
        <v>18</v>
      </c>
      <c r="BA6" s="56" t="s">
        <v>16</v>
      </c>
      <c r="BB6" s="56" t="s">
        <v>16</v>
      </c>
      <c r="BC6" s="26" t="s">
        <v>17</v>
      </c>
      <c r="BD6" s="73" t="s">
        <v>22</v>
      </c>
      <c r="BE6" s="74" t="s">
        <v>22</v>
      </c>
      <c r="BF6" s="20" t="s">
        <v>17</v>
      </c>
      <c r="BG6" s="21">
        <v>0</v>
      </c>
      <c r="BH6" s="21">
        <v>0</v>
      </c>
      <c r="BI6" s="21">
        <v>2</v>
      </c>
      <c r="BJ6" s="21">
        <v>0</v>
      </c>
      <c r="BK6" s="21">
        <v>2</v>
      </c>
      <c r="BL6" s="21">
        <v>1</v>
      </c>
      <c r="BM6" s="14">
        <f t="shared" si="6"/>
        <v>60</v>
      </c>
      <c r="BN6" s="53" t="s">
        <v>18</v>
      </c>
      <c r="BO6" s="56" t="s">
        <v>16</v>
      </c>
      <c r="BP6" s="21">
        <v>0</v>
      </c>
      <c r="BQ6" s="21">
        <v>0</v>
      </c>
      <c r="BR6" s="21">
        <v>1</v>
      </c>
      <c r="BS6" s="21">
        <v>0</v>
      </c>
      <c r="BT6" s="21">
        <v>0</v>
      </c>
      <c r="BU6" s="21">
        <v>1</v>
      </c>
      <c r="BV6" s="14">
        <f t="shared" si="7"/>
        <v>24</v>
      </c>
      <c r="BW6" s="69">
        <f>SUM(C6,Q6,AE6,AS6,BG6)</f>
        <v>0</v>
      </c>
      <c r="BX6" s="69">
        <f t="shared" si="0"/>
        <v>0</v>
      </c>
      <c r="BY6" s="69">
        <f t="shared" si="8"/>
        <v>0</v>
      </c>
      <c r="BZ6" s="69">
        <f>SUM(E6,S6,AG6,AU6,BI6,BR6)</f>
        <v>7</v>
      </c>
      <c r="CA6" s="69">
        <f t="shared" si="9"/>
        <v>5</v>
      </c>
      <c r="CB6" s="69">
        <f t="shared" si="11"/>
        <v>6</v>
      </c>
      <c r="CC6" s="51">
        <f t="shared" si="2"/>
        <v>18</v>
      </c>
      <c r="CD6" s="25">
        <f t="shared" si="3"/>
        <v>216</v>
      </c>
      <c r="CE6" s="70">
        <f t="shared" si="4"/>
        <v>36</v>
      </c>
    </row>
    <row r="7" spans="1:84" x14ac:dyDescent="0.25">
      <c r="A7" s="53" t="s">
        <v>38</v>
      </c>
      <c r="B7" s="20" t="s">
        <v>17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14">
        <f t="shared" ref="I7:I17" si="12">(7*C7)+(7*D7)+(12*E7)+(12*G7)+(12*H7)</f>
        <v>0</v>
      </c>
      <c r="J7" s="58" t="s">
        <v>40</v>
      </c>
      <c r="K7" s="58" t="s">
        <v>40</v>
      </c>
      <c r="L7" s="58" t="s">
        <v>40</v>
      </c>
      <c r="M7" s="58" t="s">
        <v>40</v>
      </c>
      <c r="N7" s="58" t="s">
        <v>40</v>
      </c>
      <c r="O7" s="20" t="s">
        <v>17</v>
      </c>
      <c r="P7" s="20" t="s">
        <v>17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14">
        <f t="shared" ref="W7:W17" si="13">(7*Q7)+(7*R7)+(12*S7)+(12*U7)+(12*V7)</f>
        <v>0</v>
      </c>
      <c r="X7" s="58" t="s">
        <v>40</v>
      </c>
      <c r="Y7" s="58" t="s">
        <v>40</v>
      </c>
      <c r="Z7" s="58" t="s">
        <v>40</v>
      </c>
      <c r="AA7" s="58" t="s">
        <v>40</v>
      </c>
      <c r="AB7" s="58" t="s">
        <v>40</v>
      </c>
      <c r="AC7" s="20" t="s">
        <v>17</v>
      </c>
      <c r="AD7" s="20" t="s">
        <v>17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14">
        <f t="shared" ref="AK7:AK17" si="14">(7*AE7)+(7*AF7)+(12*AG7)+(12*AI7)+(12*AJ7)</f>
        <v>0</v>
      </c>
      <c r="AL7" s="58" t="s">
        <v>40</v>
      </c>
      <c r="AM7" s="58" t="s">
        <v>40</v>
      </c>
      <c r="AN7" s="58" t="s">
        <v>40</v>
      </c>
      <c r="AO7" s="58" t="s">
        <v>40</v>
      </c>
      <c r="AP7" s="58" t="s">
        <v>40</v>
      </c>
      <c r="AQ7" s="20" t="s">
        <v>17</v>
      </c>
      <c r="AR7" s="54" t="s">
        <v>18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1</v>
      </c>
      <c r="AY7" s="14">
        <f t="shared" si="5"/>
        <v>12</v>
      </c>
      <c r="AZ7" s="26" t="s">
        <v>17</v>
      </c>
      <c r="BA7" s="26" t="s">
        <v>17</v>
      </c>
      <c r="BB7" s="26" t="s">
        <v>17</v>
      </c>
      <c r="BC7" s="53" t="s">
        <v>18</v>
      </c>
      <c r="BD7" s="53" t="s">
        <v>18</v>
      </c>
      <c r="BE7" s="20" t="s">
        <v>17</v>
      </c>
      <c r="BF7" s="20" t="s">
        <v>17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2</v>
      </c>
      <c r="BM7" s="14">
        <f t="shared" si="6"/>
        <v>24</v>
      </c>
      <c r="BN7" s="75" t="s">
        <v>13</v>
      </c>
      <c r="BO7" s="26" t="s">
        <v>17</v>
      </c>
      <c r="BP7" s="21">
        <v>1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14">
        <f t="shared" si="7"/>
        <v>7</v>
      </c>
      <c r="BW7" s="69">
        <f>SUM(C7,Q7,AE7,AS7,BG7,BP7)</f>
        <v>1</v>
      </c>
      <c r="BX7" s="69">
        <f t="shared" si="0"/>
        <v>0</v>
      </c>
      <c r="BY7" s="69">
        <f t="shared" si="8"/>
        <v>0</v>
      </c>
      <c r="BZ7" s="69">
        <f t="shared" si="10"/>
        <v>0</v>
      </c>
      <c r="CA7" s="69">
        <f t="shared" si="9"/>
        <v>0</v>
      </c>
      <c r="CB7" s="69">
        <f t="shared" si="11"/>
        <v>3</v>
      </c>
      <c r="CC7" s="51">
        <f t="shared" si="2"/>
        <v>4</v>
      </c>
      <c r="CD7" s="25">
        <f t="shared" si="3"/>
        <v>43</v>
      </c>
      <c r="CE7" s="70">
        <f t="shared" si="4"/>
        <v>-137</v>
      </c>
    </row>
    <row r="8" spans="1:84" x14ac:dyDescent="0.25">
      <c r="A8" s="53" t="s">
        <v>23</v>
      </c>
      <c r="B8" s="20" t="s">
        <v>17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14">
        <f t="shared" si="12"/>
        <v>0</v>
      </c>
      <c r="J8" s="26" t="s">
        <v>17</v>
      </c>
      <c r="K8" s="53" t="s">
        <v>18</v>
      </c>
      <c r="L8" s="75" t="s">
        <v>14</v>
      </c>
      <c r="M8" s="75" t="s">
        <v>14</v>
      </c>
      <c r="N8" s="26" t="s">
        <v>17</v>
      </c>
      <c r="O8" s="54" t="s">
        <v>18</v>
      </c>
      <c r="P8" s="20" t="s">
        <v>17</v>
      </c>
      <c r="Q8" s="21">
        <v>0</v>
      </c>
      <c r="R8" s="21">
        <v>2</v>
      </c>
      <c r="S8" s="21">
        <v>0</v>
      </c>
      <c r="T8" s="21">
        <v>0</v>
      </c>
      <c r="U8" s="21">
        <v>0</v>
      </c>
      <c r="V8" s="21">
        <v>2</v>
      </c>
      <c r="W8" s="14">
        <f t="shared" si="13"/>
        <v>38</v>
      </c>
      <c r="X8" s="26" t="s">
        <v>17</v>
      </c>
      <c r="Y8" s="53" t="s">
        <v>18</v>
      </c>
      <c r="Z8" s="75" t="s">
        <v>14</v>
      </c>
      <c r="AA8" s="75" t="s">
        <v>14</v>
      </c>
      <c r="AB8" s="26" t="s">
        <v>17</v>
      </c>
      <c r="AC8" s="20" t="s">
        <v>17</v>
      </c>
      <c r="AD8" s="20" t="s">
        <v>17</v>
      </c>
      <c r="AE8" s="21">
        <v>0</v>
      </c>
      <c r="AF8" s="21">
        <v>2</v>
      </c>
      <c r="AG8" s="21">
        <v>0</v>
      </c>
      <c r="AH8" s="21">
        <v>0</v>
      </c>
      <c r="AI8" s="21">
        <v>0</v>
      </c>
      <c r="AJ8" s="21">
        <v>1</v>
      </c>
      <c r="AK8" s="14">
        <f t="shared" si="14"/>
        <v>26</v>
      </c>
      <c r="AL8" s="26" t="s">
        <v>17</v>
      </c>
      <c r="AM8" s="53" t="s">
        <v>18</v>
      </c>
      <c r="AN8" s="75" t="s">
        <v>14</v>
      </c>
      <c r="AO8" s="75" t="s">
        <v>14</v>
      </c>
      <c r="AP8" s="26" t="s">
        <v>17</v>
      </c>
      <c r="AQ8" s="54" t="s">
        <v>18</v>
      </c>
      <c r="AR8" s="20" t="s">
        <v>17</v>
      </c>
      <c r="AS8" s="21">
        <v>0</v>
      </c>
      <c r="AT8" s="21">
        <v>2</v>
      </c>
      <c r="AU8" s="21">
        <v>0</v>
      </c>
      <c r="AV8" s="21">
        <v>0</v>
      </c>
      <c r="AW8" s="21">
        <v>0</v>
      </c>
      <c r="AX8" s="21">
        <v>2</v>
      </c>
      <c r="AY8" s="14">
        <f t="shared" si="5"/>
        <v>38</v>
      </c>
      <c r="AZ8" s="53" t="s">
        <v>18</v>
      </c>
      <c r="BA8" s="53" t="s">
        <v>18</v>
      </c>
      <c r="BB8" s="75" t="s">
        <v>14</v>
      </c>
      <c r="BC8" s="75" t="s">
        <v>14</v>
      </c>
      <c r="BD8" s="26" t="s">
        <v>17</v>
      </c>
      <c r="BE8" s="54" t="s">
        <v>18</v>
      </c>
      <c r="BF8" s="20" t="s">
        <v>17</v>
      </c>
      <c r="BG8" s="21">
        <v>0</v>
      </c>
      <c r="BH8" s="21">
        <v>2</v>
      </c>
      <c r="BI8" s="21">
        <v>0</v>
      </c>
      <c r="BJ8" s="21">
        <v>0</v>
      </c>
      <c r="BK8" s="21">
        <v>0</v>
      </c>
      <c r="BL8" s="21">
        <v>3</v>
      </c>
      <c r="BM8" s="14">
        <f t="shared" si="6"/>
        <v>50</v>
      </c>
      <c r="BN8" s="75" t="s">
        <v>14</v>
      </c>
      <c r="BO8" s="53" t="s">
        <v>18</v>
      </c>
      <c r="BP8" s="21">
        <v>0</v>
      </c>
      <c r="BQ8" s="21">
        <v>1</v>
      </c>
      <c r="BR8" s="21">
        <v>0</v>
      </c>
      <c r="BS8" s="21">
        <v>0</v>
      </c>
      <c r="BT8" s="21">
        <v>0</v>
      </c>
      <c r="BU8" s="21">
        <v>1</v>
      </c>
      <c r="BV8" s="14">
        <f t="shared" si="7"/>
        <v>19</v>
      </c>
      <c r="BW8" s="69">
        <f>SUM(C8,Q8,AE8,AS8,BG8)</f>
        <v>0</v>
      </c>
      <c r="BX8" s="69">
        <f>SUM(D8,R8,AF8,AT8,BH8,BQ8)</f>
        <v>9</v>
      </c>
      <c r="BY8" s="69">
        <f t="shared" si="8"/>
        <v>0</v>
      </c>
      <c r="BZ8" s="69">
        <f t="shared" si="10"/>
        <v>0</v>
      </c>
      <c r="CA8" s="69">
        <f t="shared" si="9"/>
        <v>0</v>
      </c>
      <c r="CB8" s="69">
        <f>SUM(H8,V8,AJ8,AX8,BL8,BU8)</f>
        <v>9</v>
      </c>
      <c r="CC8" s="51">
        <f>SUM(BW8:CB8)</f>
        <v>18</v>
      </c>
      <c r="CD8" s="25">
        <f t="shared" si="3"/>
        <v>171</v>
      </c>
      <c r="CE8" s="70">
        <f t="shared" si="4"/>
        <v>-9</v>
      </c>
      <c r="CF8" t="s">
        <v>47</v>
      </c>
    </row>
    <row r="9" spans="1:84" x14ac:dyDescent="0.25">
      <c r="A9" s="53" t="s">
        <v>24</v>
      </c>
      <c r="B9" s="57" t="s">
        <v>16</v>
      </c>
      <c r="C9" s="21">
        <v>0</v>
      </c>
      <c r="D9" s="21">
        <v>0</v>
      </c>
      <c r="E9" s="21">
        <v>1</v>
      </c>
      <c r="F9" s="21">
        <v>0</v>
      </c>
      <c r="G9" s="21">
        <v>0</v>
      </c>
      <c r="H9" s="21">
        <v>0</v>
      </c>
      <c r="I9" s="14">
        <f t="shared" si="12"/>
        <v>12</v>
      </c>
      <c r="J9" s="26" t="s">
        <v>17</v>
      </c>
      <c r="K9" s="26" t="s">
        <v>17</v>
      </c>
      <c r="L9" s="26" t="s">
        <v>17</v>
      </c>
      <c r="M9" s="56" t="s">
        <v>16</v>
      </c>
      <c r="N9" s="56" t="s">
        <v>16</v>
      </c>
      <c r="O9" s="57" t="s">
        <v>16</v>
      </c>
      <c r="P9" s="57" t="s">
        <v>16</v>
      </c>
      <c r="Q9" s="21">
        <v>0</v>
      </c>
      <c r="R9" s="21">
        <v>0</v>
      </c>
      <c r="S9" s="21">
        <v>4</v>
      </c>
      <c r="T9" s="21">
        <v>0</v>
      </c>
      <c r="U9" s="21">
        <v>0</v>
      </c>
      <c r="V9" s="21">
        <v>0</v>
      </c>
      <c r="W9" s="14">
        <f t="shared" si="13"/>
        <v>48</v>
      </c>
      <c r="X9" s="26" t="s">
        <v>17</v>
      </c>
      <c r="Y9" s="26" t="s">
        <v>17</v>
      </c>
      <c r="Z9" s="26" t="s">
        <v>17</v>
      </c>
      <c r="AA9" s="56" t="s">
        <v>16</v>
      </c>
      <c r="AB9" s="56" t="s">
        <v>16</v>
      </c>
      <c r="AC9" s="57" t="s">
        <v>16</v>
      </c>
      <c r="AD9" s="57" t="s">
        <v>16</v>
      </c>
      <c r="AE9" s="21">
        <v>0</v>
      </c>
      <c r="AF9" s="21">
        <v>0</v>
      </c>
      <c r="AG9" s="21">
        <v>4</v>
      </c>
      <c r="AH9" s="21">
        <v>0</v>
      </c>
      <c r="AI9" s="21">
        <v>0</v>
      </c>
      <c r="AJ9" s="21">
        <v>0</v>
      </c>
      <c r="AK9" s="14">
        <f t="shared" si="14"/>
        <v>48</v>
      </c>
      <c r="AL9" s="26" t="s">
        <v>17</v>
      </c>
      <c r="AM9" s="26" t="s">
        <v>17</v>
      </c>
      <c r="AN9" s="26" t="s">
        <v>17</v>
      </c>
      <c r="AO9" s="26" t="s">
        <v>17</v>
      </c>
      <c r="AP9" s="56" t="s">
        <v>16</v>
      </c>
      <c r="AQ9" s="57" t="s">
        <v>16</v>
      </c>
      <c r="AR9" s="57" t="s">
        <v>16</v>
      </c>
      <c r="AS9" s="21">
        <v>0</v>
      </c>
      <c r="AT9" s="21">
        <v>0</v>
      </c>
      <c r="AU9" s="21">
        <v>3</v>
      </c>
      <c r="AV9" s="21">
        <v>0</v>
      </c>
      <c r="AW9" s="21">
        <v>0</v>
      </c>
      <c r="AX9" s="21">
        <v>0</v>
      </c>
      <c r="AY9" s="14">
        <f t="shared" si="5"/>
        <v>36</v>
      </c>
      <c r="AZ9" s="58" t="s">
        <v>40</v>
      </c>
      <c r="BA9" s="58" t="s">
        <v>40</v>
      </c>
      <c r="BB9" s="58" t="s">
        <v>40</v>
      </c>
      <c r="BC9" s="58" t="s">
        <v>40</v>
      </c>
      <c r="BD9" s="58" t="s">
        <v>40</v>
      </c>
      <c r="BE9" s="20" t="s">
        <v>17</v>
      </c>
      <c r="BF9" s="20" t="s">
        <v>17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14">
        <f t="shared" si="6"/>
        <v>0</v>
      </c>
      <c r="BN9" s="58" t="s">
        <v>40</v>
      </c>
      <c r="BO9" s="58" t="s">
        <v>40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14">
        <f t="shared" si="7"/>
        <v>0</v>
      </c>
      <c r="BW9" s="69">
        <f>SUM(C9,Q9,AE9,AS9,BG9)</f>
        <v>0</v>
      </c>
      <c r="BX9" s="69">
        <f t="shared" ref="BX9:BX12" si="15">SUM(D9,R9,AF9,AT9,BH9,BQ9)</f>
        <v>0</v>
      </c>
      <c r="BY9" s="69">
        <f t="shared" si="8"/>
        <v>0</v>
      </c>
      <c r="BZ9" s="69">
        <f t="shared" si="10"/>
        <v>12</v>
      </c>
      <c r="CA9" s="69">
        <f t="shared" si="9"/>
        <v>0</v>
      </c>
      <c r="CB9" s="69">
        <f t="shared" si="11"/>
        <v>0</v>
      </c>
      <c r="CC9" s="51">
        <f t="shared" si="2"/>
        <v>12</v>
      </c>
      <c r="CD9" s="25">
        <f t="shared" si="3"/>
        <v>144</v>
      </c>
      <c r="CE9" s="70">
        <f t="shared" si="4"/>
        <v>-36</v>
      </c>
    </row>
    <row r="10" spans="1:84" x14ac:dyDescent="0.25">
      <c r="A10" s="25" t="s">
        <v>27</v>
      </c>
      <c r="B10" s="20" t="s">
        <v>17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14">
        <f t="shared" si="12"/>
        <v>0</v>
      </c>
      <c r="J10" s="26" t="s">
        <v>17</v>
      </c>
      <c r="K10" s="53" t="s">
        <v>18</v>
      </c>
      <c r="L10" s="53" t="s">
        <v>18</v>
      </c>
      <c r="M10" s="53" t="s">
        <v>18</v>
      </c>
      <c r="N10" s="26" t="s">
        <v>17</v>
      </c>
      <c r="O10" s="20" t="s">
        <v>17</v>
      </c>
      <c r="P10" s="20" t="s">
        <v>17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3</v>
      </c>
      <c r="W10" s="14">
        <f t="shared" si="13"/>
        <v>36</v>
      </c>
      <c r="X10" s="26" t="s">
        <v>17</v>
      </c>
      <c r="Y10" s="53" t="s">
        <v>18</v>
      </c>
      <c r="Z10" s="53" t="s">
        <v>18</v>
      </c>
      <c r="AA10" s="53" t="s">
        <v>18</v>
      </c>
      <c r="AB10" s="26" t="s">
        <v>17</v>
      </c>
      <c r="AC10" s="20" t="s">
        <v>17</v>
      </c>
      <c r="AD10" s="20" t="s">
        <v>17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3</v>
      </c>
      <c r="AK10" s="14">
        <f>(7*AE10)+(7*AF10)+(12*AG10)+(12*AI10)+(12*AJ10)</f>
        <v>36</v>
      </c>
      <c r="AL10" s="26" t="s">
        <v>17</v>
      </c>
      <c r="AM10" s="53" t="s">
        <v>18</v>
      </c>
      <c r="AN10" s="53" t="s">
        <v>18</v>
      </c>
      <c r="AO10" s="53" t="s">
        <v>18</v>
      </c>
      <c r="AP10" s="26" t="s">
        <v>17</v>
      </c>
      <c r="AQ10" s="54" t="s">
        <v>18</v>
      </c>
      <c r="AR10" s="20" t="s">
        <v>17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4</v>
      </c>
      <c r="AY10" s="14">
        <f t="shared" si="5"/>
        <v>48</v>
      </c>
      <c r="AZ10" s="26" t="s">
        <v>17</v>
      </c>
      <c r="BA10" s="53" t="s">
        <v>18</v>
      </c>
      <c r="BB10" s="53" t="s">
        <v>18</v>
      </c>
      <c r="BC10" s="53" t="s">
        <v>18</v>
      </c>
      <c r="BD10" s="26" t="s">
        <v>17</v>
      </c>
      <c r="BE10" s="54" t="s">
        <v>18</v>
      </c>
      <c r="BF10" s="20" t="s">
        <v>17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4</v>
      </c>
      <c r="BM10" s="14">
        <f t="shared" si="6"/>
        <v>48</v>
      </c>
      <c r="BN10" s="26" t="s">
        <v>17</v>
      </c>
      <c r="BO10" s="53" t="s">
        <v>18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1</v>
      </c>
      <c r="BV10" s="14">
        <f t="shared" si="7"/>
        <v>12</v>
      </c>
      <c r="BW10" s="69">
        <f>SUM(C10,Q10,AE10,AS10,BG10)</f>
        <v>0</v>
      </c>
      <c r="BX10" s="69">
        <f t="shared" si="15"/>
        <v>0</v>
      </c>
      <c r="BY10" s="69">
        <f t="shared" si="8"/>
        <v>0</v>
      </c>
      <c r="BZ10" s="69">
        <f t="shared" si="10"/>
        <v>0</v>
      </c>
      <c r="CA10" s="69">
        <f t="shared" si="9"/>
        <v>0</v>
      </c>
      <c r="CB10" s="69">
        <f>SUM(H10,V10,AJ10,AX10,BL10,BU10)</f>
        <v>15</v>
      </c>
      <c r="CC10" s="51">
        <f>SUM(BW10:CB10)</f>
        <v>15</v>
      </c>
      <c r="CD10" s="25">
        <f>SUM(I10,W10,AK10,AY10,BM10,BV10)</f>
        <v>180</v>
      </c>
      <c r="CE10" s="71">
        <f t="shared" si="4"/>
        <v>0</v>
      </c>
    </row>
    <row r="11" spans="1:84" x14ac:dyDescent="0.25">
      <c r="A11" s="25" t="s">
        <v>25</v>
      </c>
      <c r="B11" s="20" t="s">
        <v>17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14">
        <f t="shared" si="12"/>
        <v>0</v>
      </c>
      <c r="J11" s="58" t="s">
        <v>35</v>
      </c>
      <c r="K11" s="58" t="s">
        <v>35</v>
      </c>
      <c r="L11" s="58" t="s">
        <v>35</v>
      </c>
      <c r="M11" s="58" t="s">
        <v>35</v>
      </c>
      <c r="N11" s="58" t="s">
        <v>35</v>
      </c>
      <c r="O11" s="20" t="s">
        <v>17</v>
      </c>
      <c r="P11" s="20" t="s">
        <v>17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14">
        <f t="shared" si="13"/>
        <v>0</v>
      </c>
      <c r="X11" s="58" t="s">
        <v>35</v>
      </c>
      <c r="Y11" s="58" t="s">
        <v>35</v>
      </c>
      <c r="Z11" s="58" t="s">
        <v>35</v>
      </c>
      <c r="AA11" s="58" t="s">
        <v>35</v>
      </c>
      <c r="AB11" s="58" t="s">
        <v>35</v>
      </c>
      <c r="AC11" s="20" t="s">
        <v>17</v>
      </c>
      <c r="AD11" s="20" t="s">
        <v>17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14">
        <f t="shared" si="14"/>
        <v>0</v>
      </c>
      <c r="AL11" s="58" t="s">
        <v>35</v>
      </c>
      <c r="AM11" s="58" t="s">
        <v>35</v>
      </c>
      <c r="AN11" s="58" t="s">
        <v>35</v>
      </c>
      <c r="AO11" s="58" t="s">
        <v>35</v>
      </c>
      <c r="AP11" s="58" t="s">
        <v>35</v>
      </c>
      <c r="AQ11" s="20" t="s">
        <v>17</v>
      </c>
      <c r="AR11" s="20" t="s">
        <v>17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14">
        <f t="shared" si="5"/>
        <v>0</v>
      </c>
      <c r="AZ11" s="58" t="s">
        <v>35</v>
      </c>
      <c r="BA11" s="58" t="s">
        <v>35</v>
      </c>
      <c r="BB11" s="58" t="s">
        <v>35</v>
      </c>
      <c r="BC11" s="58" t="s">
        <v>35</v>
      </c>
      <c r="BD11" s="58" t="s">
        <v>35</v>
      </c>
      <c r="BE11" s="20" t="s">
        <v>17</v>
      </c>
      <c r="BF11" s="20" t="s">
        <v>17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14">
        <f t="shared" si="6"/>
        <v>0</v>
      </c>
      <c r="BN11" s="58" t="s">
        <v>35</v>
      </c>
      <c r="BO11" s="58" t="s">
        <v>35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14">
        <f t="shared" si="7"/>
        <v>0</v>
      </c>
      <c r="BW11" s="69">
        <f>SUM(C11,Q11,AE11,AS11,BG11)</f>
        <v>0</v>
      </c>
      <c r="BX11" s="69">
        <f t="shared" si="15"/>
        <v>0</v>
      </c>
      <c r="BY11" s="69">
        <f t="shared" si="8"/>
        <v>0</v>
      </c>
      <c r="BZ11" s="69">
        <f t="shared" si="10"/>
        <v>0</v>
      </c>
      <c r="CA11" s="69">
        <f t="shared" si="9"/>
        <v>0</v>
      </c>
      <c r="CB11" s="69">
        <f t="shared" si="11"/>
        <v>0</v>
      </c>
      <c r="CC11" s="25">
        <f t="shared" si="2"/>
        <v>0</v>
      </c>
      <c r="CD11" s="25">
        <f t="shared" ref="CD11:CD12" si="16">SUM(I11,W11,AK11,AY11,BM11,BV11)</f>
        <v>0</v>
      </c>
      <c r="CE11" s="71">
        <f t="shared" si="4"/>
        <v>-180</v>
      </c>
    </row>
    <row r="12" spans="1:84" x14ac:dyDescent="0.25">
      <c r="A12" s="51" t="s">
        <v>28</v>
      </c>
      <c r="B12" s="20" t="s">
        <v>17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14">
        <f t="shared" si="12"/>
        <v>0</v>
      </c>
      <c r="J12" s="73" t="s">
        <v>22</v>
      </c>
      <c r="K12" s="73" t="s">
        <v>22</v>
      </c>
      <c r="L12" s="73" t="s">
        <v>22</v>
      </c>
      <c r="M12" s="26" t="s">
        <v>17</v>
      </c>
      <c r="N12" s="73" t="s">
        <v>22</v>
      </c>
      <c r="O12" s="74" t="s">
        <v>22</v>
      </c>
      <c r="P12" s="74" t="s">
        <v>22</v>
      </c>
      <c r="Q12" s="21">
        <v>0</v>
      </c>
      <c r="R12" s="21">
        <v>0</v>
      </c>
      <c r="S12" s="21">
        <v>0</v>
      </c>
      <c r="T12" s="21">
        <v>0</v>
      </c>
      <c r="U12" s="21">
        <v>6</v>
      </c>
      <c r="V12" s="21">
        <v>0</v>
      </c>
      <c r="W12" s="14">
        <f t="shared" si="13"/>
        <v>72</v>
      </c>
      <c r="X12" s="73" t="s">
        <v>22</v>
      </c>
      <c r="Y12" s="73" t="s">
        <v>22</v>
      </c>
      <c r="Z12" s="73" t="s">
        <v>22</v>
      </c>
      <c r="AA12" s="26" t="s">
        <v>17</v>
      </c>
      <c r="AB12" s="73" t="s">
        <v>22</v>
      </c>
      <c r="AC12" s="74" t="s">
        <v>22</v>
      </c>
      <c r="AD12" s="74" t="s">
        <v>22</v>
      </c>
      <c r="AE12" s="21">
        <v>0</v>
      </c>
      <c r="AF12" s="21">
        <v>0</v>
      </c>
      <c r="AG12" s="21">
        <v>0</v>
      </c>
      <c r="AH12" s="21">
        <v>0</v>
      </c>
      <c r="AI12" s="21">
        <v>6</v>
      </c>
      <c r="AJ12" s="21">
        <v>0</v>
      </c>
      <c r="AK12" s="14">
        <f t="shared" si="14"/>
        <v>72</v>
      </c>
      <c r="AL12" s="26" t="s">
        <v>17</v>
      </c>
      <c r="AM12" s="26" t="s">
        <v>17</v>
      </c>
      <c r="AN12" s="26" t="s">
        <v>17</v>
      </c>
      <c r="AO12" s="26" t="s">
        <v>17</v>
      </c>
      <c r="AP12" s="26" t="s">
        <v>17</v>
      </c>
      <c r="AQ12" s="20" t="s">
        <v>17</v>
      </c>
      <c r="AR12" s="20" t="s">
        <v>17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14">
        <f t="shared" si="5"/>
        <v>0</v>
      </c>
      <c r="AZ12" s="26" t="s">
        <v>17</v>
      </c>
      <c r="BA12" s="26" t="s">
        <v>17</v>
      </c>
      <c r="BB12" s="26" t="s">
        <v>17</v>
      </c>
      <c r="BC12" s="26" t="s">
        <v>17</v>
      </c>
      <c r="BD12" s="26" t="s">
        <v>17</v>
      </c>
      <c r="BE12" s="20" t="s">
        <v>17</v>
      </c>
      <c r="BF12" s="74" t="s">
        <v>22</v>
      </c>
      <c r="BG12" s="21">
        <v>0</v>
      </c>
      <c r="BH12" s="21">
        <v>0</v>
      </c>
      <c r="BI12" s="21">
        <v>0</v>
      </c>
      <c r="BJ12" s="21">
        <v>0</v>
      </c>
      <c r="BK12" s="21">
        <v>1</v>
      </c>
      <c r="BL12" s="21">
        <v>0</v>
      </c>
      <c r="BM12" s="14">
        <f t="shared" si="6"/>
        <v>12</v>
      </c>
      <c r="BN12" s="73" t="s">
        <v>22</v>
      </c>
      <c r="BO12" s="73" t="s">
        <v>22</v>
      </c>
      <c r="BP12" s="21">
        <v>0</v>
      </c>
      <c r="BQ12" s="21">
        <v>0</v>
      </c>
      <c r="BR12" s="21">
        <v>0</v>
      </c>
      <c r="BS12" s="21">
        <v>0</v>
      </c>
      <c r="BT12" s="21">
        <v>2</v>
      </c>
      <c r="BU12" s="21">
        <v>0</v>
      </c>
      <c r="BV12" s="14">
        <f t="shared" si="7"/>
        <v>24</v>
      </c>
      <c r="BW12" s="69">
        <f>SUM(C12,Q12,AE12,AS12,BG12)</f>
        <v>0</v>
      </c>
      <c r="BX12" s="69">
        <f t="shared" si="15"/>
        <v>0</v>
      </c>
      <c r="BY12" s="69">
        <f t="shared" si="8"/>
        <v>0</v>
      </c>
      <c r="BZ12" s="69">
        <f t="shared" si="10"/>
        <v>0</v>
      </c>
      <c r="CA12" s="69">
        <f>SUM(G12,U12,AI12,AW12,BK12,BT12)</f>
        <v>15</v>
      </c>
      <c r="CB12" s="69">
        <f t="shared" si="11"/>
        <v>0</v>
      </c>
      <c r="CC12" s="51">
        <f>SUM(BW12:CB12)</f>
        <v>15</v>
      </c>
      <c r="CD12" s="25">
        <f t="shared" si="16"/>
        <v>180</v>
      </c>
      <c r="CE12" s="72">
        <f t="shared" si="4"/>
        <v>0</v>
      </c>
    </row>
    <row r="13" spans="1:84" x14ac:dyDescent="0.25">
      <c r="A13" s="25"/>
      <c r="B13" s="43"/>
      <c r="C13" s="44"/>
      <c r="D13" s="44"/>
      <c r="E13" s="44"/>
      <c r="F13" s="44"/>
      <c r="G13" s="44"/>
      <c r="H13" s="44"/>
      <c r="I13" s="44"/>
      <c r="J13" s="43"/>
      <c r="K13" s="43"/>
      <c r="L13" s="43"/>
      <c r="M13" s="43"/>
      <c r="N13" s="43"/>
      <c r="O13" s="43"/>
      <c r="P13" s="43"/>
      <c r="Q13" s="44"/>
      <c r="R13" s="44"/>
      <c r="S13" s="44"/>
      <c r="T13" s="44"/>
      <c r="U13" s="44"/>
      <c r="V13" s="44"/>
      <c r="W13" s="44"/>
      <c r="X13" s="43"/>
      <c r="Y13" s="43"/>
      <c r="Z13" s="43"/>
      <c r="AA13" s="43"/>
      <c r="AB13" s="43"/>
      <c r="AC13" s="43"/>
      <c r="AD13" s="43"/>
      <c r="AE13" s="44"/>
      <c r="AF13" s="44"/>
      <c r="AG13" s="44"/>
      <c r="AH13" s="44"/>
      <c r="AI13" s="44"/>
      <c r="AJ13" s="44"/>
      <c r="AK13" s="44"/>
      <c r="AL13" s="43"/>
      <c r="AM13" s="43"/>
      <c r="AN13" s="43"/>
      <c r="AO13" s="43"/>
      <c r="AP13" s="43"/>
      <c r="AQ13" s="43"/>
      <c r="AR13" s="43"/>
      <c r="AS13" s="44"/>
      <c r="AT13" s="44"/>
      <c r="AU13" s="44"/>
      <c r="AV13" s="44"/>
      <c r="AW13" s="44"/>
      <c r="AX13" s="44"/>
      <c r="AY13" s="44"/>
      <c r="AZ13" s="43"/>
      <c r="BA13" s="43"/>
      <c r="BB13" s="43"/>
      <c r="BC13" s="43"/>
      <c r="BD13" s="43"/>
      <c r="BE13" s="43"/>
      <c r="BF13" s="43"/>
      <c r="BG13" s="44"/>
      <c r="BH13" s="44"/>
      <c r="BI13" s="44"/>
      <c r="BJ13" s="44"/>
      <c r="BK13" s="44"/>
      <c r="BL13" s="44"/>
      <c r="BM13" s="44"/>
      <c r="BN13" s="43"/>
      <c r="BO13" s="43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25"/>
      <c r="CD13" s="48">
        <f>SUM(CD3:CD12)</f>
        <v>1564</v>
      </c>
      <c r="CE13" s="71"/>
    </row>
    <row r="14" spans="1:84" x14ac:dyDescent="0.25">
      <c r="A14" s="36" t="s">
        <v>43</v>
      </c>
      <c r="B14" s="30" t="s">
        <v>17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f>(7*C14)+(7*D14)+(12*E14)+(12*G14)+(12*H14)</f>
        <v>0</v>
      </c>
      <c r="J14" s="30" t="s">
        <v>17</v>
      </c>
      <c r="K14" s="30" t="s">
        <v>17</v>
      </c>
      <c r="L14" s="30" t="s">
        <v>17</v>
      </c>
      <c r="M14" s="30" t="s">
        <v>17</v>
      </c>
      <c r="N14" s="30" t="s">
        <v>17</v>
      </c>
      <c r="O14" s="30" t="s">
        <v>17</v>
      </c>
      <c r="P14" s="30" t="s">
        <v>17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f>(7*Q14)+(7*R14)+(12*S14)+(12*U14)+(12*V14)</f>
        <v>0</v>
      </c>
      <c r="X14" s="30" t="s">
        <v>17</v>
      </c>
      <c r="Y14" s="30" t="s">
        <v>17</v>
      </c>
      <c r="Z14" s="30" t="s">
        <v>17</v>
      </c>
      <c r="AA14" s="30" t="s">
        <v>17</v>
      </c>
      <c r="AB14" s="30" t="s">
        <v>17</v>
      </c>
      <c r="AC14" s="30" t="s">
        <v>17</v>
      </c>
      <c r="AD14" s="30" t="s">
        <v>17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f>(7*AE14)+(7*AF14)+(12*AG14)+(12*AI14)+(12*AJ14)</f>
        <v>0</v>
      </c>
      <c r="AL14" s="30" t="s">
        <v>17</v>
      </c>
      <c r="AM14" s="30" t="s">
        <v>17</v>
      </c>
      <c r="AN14" s="30" t="s">
        <v>17</v>
      </c>
      <c r="AO14" s="30" t="s">
        <v>17</v>
      </c>
      <c r="AP14" s="30" t="s">
        <v>17</v>
      </c>
      <c r="AQ14" s="30" t="s">
        <v>17</v>
      </c>
      <c r="AR14" s="30" t="s">
        <v>17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f>(7*AS14)+(7*AT14)+(12*AU14)+(12*AW14)+(12*AX14)</f>
        <v>0</v>
      </c>
      <c r="AZ14" s="30" t="s">
        <v>17</v>
      </c>
      <c r="BA14" s="30" t="s">
        <v>17</v>
      </c>
      <c r="BB14" s="30" t="s">
        <v>17</v>
      </c>
      <c r="BC14" s="30" t="s">
        <v>17</v>
      </c>
      <c r="BD14" s="30" t="s">
        <v>17</v>
      </c>
      <c r="BE14" s="30" t="s">
        <v>17</v>
      </c>
      <c r="BF14" s="30" t="s">
        <v>17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f>(7*BG14)+(7*BH14)+(12*BI14)+(12*BK14)+(12*BL14)</f>
        <v>0</v>
      </c>
      <c r="BN14" s="30" t="s">
        <v>17</v>
      </c>
      <c r="BO14" s="30" t="s">
        <v>17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f>(7*BP14)+(7*BQ14)+(12*BR14)+(12*BT14)+(12*BU14)</f>
        <v>0</v>
      </c>
      <c r="BW14" s="31">
        <f>SUM(C14,Q14,AE14,AS14,BG14)</f>
        <v>0</v>
      </c>
      <c r="BX14" s="31">
        <f>SUM(D14,R14,AF14,AT14,BH14)</f>
        <v>0</v>
      </c>
      <c r="BY14" s="31">
        <f t="shared" ref="BY14" si="17">SUM(F14,T14,AH14,AV14,BJ14)</f>
        <v>0</v>
      </c>
      <c r="BZ14" s="31">
        <f t="shared" ref="BZ14" si="18">SUM(E14,S14,AG14,AU14,BI14)</f>
        <v>0</v>
      </c>
      <c r="CA14" s="31">
        <f>SUM(G14,U14,AI14,AW14,BK14)</f>
        <v>0</v>
      </c>
      <c r="CB14" s="31">
        <f>SUM(H14,V14,AJ14,AX14,BL14)</f>
        <v>0</v>
      </c>
      <c r="CC14" s="36">
        <f>SUM(BW14:CB14)</f>
        <v>0</v>
      </c>
      <c r="CD14" s="36">
        <f t="shared" ref="CD14" si="19">SUM(I14,W14,AK14,AY14,BM14)</f>
        <v>0</v>
      </c>
      <c r="CE14" s="49">
        <f>CD14-180</f>
        <v>-180</v>
      </c>
    </row>
    <row r="15" spans="1:84" x14ac:dyDescent="0.25">
      <c r="A15" s="36" t="s">
        <v>29</v>
      </c>
      <c r="B15" s="30" t="s">
        <v>17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7">
        <f>(7*C15)+(7*D15)+(12*E15)+(12*G15)+(12*H15)</f>
        <v>0</v>
      </c>
      <c r="J15" s="55" t="s">
        <v>16</v>
      </c>
      <c r="K15" s="30" t="s">
        <v>17</v>
      </c>
      <c r="L15" s="30" t="s">
        <v>17</v>
      </c>
      <c r="M15" s="30" t="s">
        <v>17</v>
      </c>
      <c r="N15" s="55" t="s">
        <v>16</v>
      </c>
      <c r="O15" s="55" t="s">
        <v>16</v>
      </c>
      <c r="P15" s="55" t="s">
        <v>16</v>
      </c>
      <c r="Q15" s="31">
        <v>0</v>
      </c>
      <c r="R15" s="31">
        <v>0</v>
      </c>
      <c r="S15" s="31">
        <v>4</v>
      </c>
      <c r="T15" s="31">
        <v>0</v>
      </c>
      <c r="U15" s="31">
        <v>0</v>
      </c>
      <c r="V15" s="31">
        <v>0</v>
      </c>
      <c r="W15" s="31">
        <f>(7*Q15)+(7*R15)+(12*S15)+(12*U15)+(12*V15)</f>
        <v>48</v>
      </c>
      <c r="X15" s="55" t="s">
        <v>16</v>
      </c>
      <c r="Y15" s="30" t="s">
        <v>17</v>
      </c>
      <c r="Z15" s="30" t="s">
        <v>17</v>
      </c>
      <c r="AA15" s="55" t="s">
        <v>16</v>
      </c>
      <c r="AB15" s="30" t="s">
        <v>17</v>
      </c>
      <c r="AC15" s="30" t="s">
        <v>17</v>
      </c>
      <c r="AD15" s="30" t="s">
        <v>17</v>
      </c>
      <c r="AE15" s="31">
        <v>0</v>
      </c>
      <c r="AF15" s="31">
        <v>0</v>
      </c>
      <c r="AG15" s="31">
        <v>2</v>
      </c>
      <c r="AH15" s="31">
        <v>0</v>
      </c>
      <c r="AI15" s="31">
        <v>0</v>
      </c>
      <c r="AJ15" s="31">
        <v>0</v>
      </c>
      <c r="AK15" s="31">
        <f>(7*AE15)+(7*AF15)+(12*AG15)+(12*AI15)+(12*AJ15)</f>
        <v>24</v>
      </c>
      <c r="AL15" s="55" t="s">
        <v>16</v>
      </c>
      <c r="AM15" s="30" t="s">
        <v>17</v>
      </c>
      <c r="AN15" s="30" t="s">
        <v>17</v>
      </c>
      <c r="AO15" s="30" t="s">
        <v>17</v>
      </c>
      <c r="AP15" s="30" t="s">
        <v>17</v>
      </c>
      <c r="AQ15" s="55" t="s">
        <v>16</v>
      </c>
      <c r="AR15" s="30" t="s">
        <v>17</v>
      </c>
      <c r="AS15" s="31">
        <v>0</v>
      </c>
      <c r="AT15" s="31">
        <v>0</v>
      </c>
      <c r="AU15" s="31">
        <v>2</v>
      </c>
      <c r="AV15" s="31">
        <v>0</v>
      </c>
      <c r="AW15" s="31">
        <v>0</v>
      </c>
      <c r="AX15" s="31">
        <v>0</v>
      </c>
      <c r="AY15" s="31">
        <f>(7*AS15)+(7*AT15)+(12*AU15)+(12*AW15)+(12*AX15)</f>
        <v>24</v>
      </c>
      <c r="AZ15" s="55" t="s">
        <v>16</v>
      </c>
      <c r="BA15" s="30" t="s">
        <v>17</v>
      </c>
      <c r="BB15" s="30" t="s">
        <v>17</v>
      </c>
      <c r="BC15" s="55" t="s">
        <v>16</v>
      </c>
      <c r="BD15" s="30" t="s">
        <v>17</v>
      </c>
      <c r="BE15" s="30" t="s">
        <v>17</v>
      </c>
      <c r="BF15" s="30" t="s">
        <v>17</v>
      </c>
      <c r="BG15" s="31">
        <v>0</v>
      </c>
      <c r="BH15" s="31">
        <v>0</v>
      </c>
      <c r="BI15" s="31">
        <v>2</v>
      </c>
      <c r="BJ15" s="31">
        <v>0</v>
      </c>
      <c r="BK15" s="31">
        <v>0</v>
      </c>
      <c r="BL15" s="31">
        <v>0</v>
      </c>
      <c r="BM15" s="31">
        <f>(7*BG15)+(7*BH15)+(12*BI15)+(12*BK15)+(12*BL15)</f>
        <v>24</v>
      </c>
      <c r="BN15" s="55" t="s">
        <v>16</v>
      </c>
      <c r="BO15" s="55" t="s">
        <v>16</v>
      </c>
      <c r="BP15" s="31">
        <v>0</v>
      </c>
      <c r="BQ15" s="31">
        <v>0</v>
      </c>
      <c r="BR15" s="31">
        <v>2</v>
      </c>
      <c r="BS15" s="31">
        <v>0</v>
      </c>
      <c r="BT15" s="31">
        <v>0</v>
      </c>
      <c r="BU15" s="31">
        <v>0</v>
      </c>
      <c r="BV15" s="31">
        <f>(7*BP15)+(7*BQ15)+(12*BR15)+(12*BT15)+(12*BU15)</f>
        <v>24</v>
      </c>
      <c r="BW15" s="31">
        <f>SUM(C15,Q15,AE15,AS15,BG15)</f>
        <v>0</v>
      </c>
      <c r="BX15" s="31">
        <f>SUM(D15,R15,AF15,AT15,BH15)</f>
        <v>0</v>
      </c>
      <c r="BY15" s="31">
        <f t="shared" ref="BY15:BY19" si="20">SUM(F15,T15,AH15,AV15,BJ15)</f>
        <v>0</v>
      </c>
      <c r="BZ15" s="31">
        <f>SUM(E15,S15,AG15,AU15,BI15,BR15)</f>
        <v>12</v>
      </c>
      <c r="CA15" s="31">
        <f>SUM(G15,U15,AI15,AW15,BK15)</f>
        <v>0</v>
      </c>
      <c r="CB15" s="31">
        <f>SUM(H15,V15,AJ15,AX15,BL15)</f>
        <v>0</v>
      </c>
      <c r="CC15" s="36">
        <f>SUM(BW15:CB15)</f>
        <v>12</v>
      </c>
      <c r="CD15" s="36">
        <f>SUM(I15,W15,AK15,AY15,BM15,BV15)</f>
        <v>144</v>
      </c>
      <c r="CE15" s="49">
        <f t="shared" ref="CE15:CE19" si="21">CD15-180</f>
        <v>-36</v>
      </c>
    </row>
    <row r="16" spans="1:84" x14ac:dyDescent="0.25">
      <c r="A16" s="36" t="s">
        <v>44</v>
      </c>
      <c r="B16" s="30" t="s">
        <v>17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7">
        <f>(7*C16)+(7*D16)+(12*E16)+(12*G16)+(12*H16)</f>
        <v>0</v>
      </c>
      <c r="J16" s="36" t="s">
        <v>18</v>
      </c>
      <c r="K16" s="30" t="s">
        <v>17</v>
      </c>
      <c r="L16" s="30" t="s">
        <v>17</v>
      </c>
      <c r="M16" s="30" t="s">
        <v>17</v>
      </c>
      <c r="N16" s="36" t="s">
        <v>18</v>
      </c>
      <c r="O16" s="30" t="s">
        <v>17</v>
      </c>
      <c r="P16" s="30" t="s">
        <v>17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2</v>
      </c>
      <c r="W16" s="31">
        <f>(7*Q16)+(7*R16)+(12*S16)+(12*U16)+(12*V16)</f>
        <v>24</v>
      </c>
      <c r="X16" s="30" t="s">
        <v>17</v>
      </c>
      <c r="Y16" s="30" t="s">
        <v>17</v>
      </c>
      <c r="Z16" s="76" t="s">
        <v>13</v>
      </c>
      <c r="AA16" s="76" t="s">
        <v>13</v>
      </c>
      <c r="AB16" s="36" t="s">
        <v>18</v>
      </c>
      <c r="AC16" s="30" t="s">
        <v>17</v>
      </c>
      <c r="AD16" s="36" t="s">
        <v>18</v>
      </c>
      <c r="AE16" s="31">
        <v>2</v>
      </c>
      <c r="AF16" s="31">
        <v>0</v>
      </c>
      <c r="AG16" s="31">
        <v>0</v>
      </c>
      <c r="AH16" s="31">
        <v>0</v>
      </c>
      <c r="AI16" s="31">
        <v>0</v>
      </c>
      <c r="AJ16" s="31">
        <v>2</v>
      </c>
      <c r="AK16" s="31">
        <f>(7*AE16)+(7*AF16)+(12*AG16)+(12*AI16)+(12*AJ16)</f>
        <v>38</v>
      </c>
      <c r="AL16" s="30" t="s">
        <v>17</v>
      </c>
      <c r="AM16" s="30" t="s">
        <v>17</v>
      </c>
      <c r="AN16" s="76" t="s">
        <v>13</v>
      </c>
      <c r="AO16" s="76" t="s">
        <v>13</v>
      </c>
      <c r="AP16" s="36" t="s">
        <v>18</v>
      </c>
      <c r="AQ16" s="30" t="s">
        <v>17</v>
      </c>
      <c r="AR16" s="30" t="s">
        <v>17</v>
      </c>
      <c r="AS16" s="31">
        <v>2</v>
      </c>
      <c r="AT16" s="31">
        <v>0</v>
      </c>
      <c r="AU16" s="31">
        <v>0</v>
      </c>
      <c r="AV16" s="31">
        <v>0</v>
      </c>
      <c r="AW16" s="31">
        <v>0</v>
      </c>
      <c r="AX16" s="31">
        <v>1</v>
      </c>
      <c r="AY16" s="31">
        <f>(7*AS16)+(7*AT16)+(12*AU16)+(12*AW16)+(12*AX16)</f>
        <v>26</v>
      </c>
      <c r="AZ16" s="30" t="s">
        <v>17</v>
      </c>
      <c r="BA16" s="30" t="s">
        <v>17</v>
      </c>
      <c r="BB16" s="76" t="s">
        <v>13</v>
      </c>
      <c r="BC16" s="76" t="s">
        <v>13</v>
      </c>
      <c r="BD16" s="36" t="s">
        <v>18</v>
      </c>
      <c r="BE16" s="30" t="s">
        <v>17</v>
      </c>
      <c r="BF16" s="30" t="s">
        <v>17</v>
      </c>
      <c r="BG16" s="31">
        <v>2</v>
      </c>
      <c r="BH16" s="31">
        <v>0</v>
      </c>
      <c r="BI16" s="31">
        <v>0</v>
      </c>
      <c r="BJ16" s="31">
        <v>0</v>
      </c>
      <c r="BK16" s="31">
        <v>0</v>
      </c>
      <c r="BL16" s="31">
        <v>1</v>
      </c>
      <c r="BM16" s="31">
        <f>(7*BG16)+(7*BH16)+(12*BI16)+(12*BK16)+(12*BL16)</f>
        <v>26</v>
      </c>
      <c r="BN16" s="30" t="s">
        <v>17</v>
      </c>
      <c r="BO16" s="30" t="s">
        <v>17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f>(7*BP16)+(7*BQ16)+(12*BR16)+(12*BT16)+(12*BU16)</f>
        <v>0</v>
      </c>
      <c r="BW16" s="31">
        <f>SUM(C16,Q16,AE16,AS16,BG16,BP16)</f>
        <v>6</v>
      </c>
      <c r="BX16" s="31">
        <f>SUM(D16,R16,AF16,AT16,BH16,BQ16)</f>
        <v>0</v>
      </c>
      <c r="BY16" s="31">
        <f t="shared" si="20"/>
        <v>0</v>
      </c>
      <c r="BZ16" s="31">
        <f t="shared" ref="BZ16:BZ19" si="22">SUM(E16,S16,AG16,AU16,BI16,BR16)</f>
        <v>0</v>
      </c>
      <c r="CA16" s="31">
        <f>SUM(G16,U16,AI16,AW16,BK16)</f>
        <v>0</v>
      </c>
      <c r="CB16" s="31">
        <f>SUM(H16,V16,AJ16,AX16,BL16,BU16)</f>
        <v>6</v>
      </c>
      <c r="CC16" s="36">
        <f>SUM(BW16:CB16)</f>
        <v>12</v>
      </c>
      <c r="CD16" s="36">
        <f t="shared" ref="CD16:CD19" si="23">SUM(I16,W16,AK16,AY16,BM16)</f>
        <v>114</v>
      </c>
      <c r="CE16" s="49">
        <f t="shared" si="21"/>
        <v>-66</v>
      </c>
    </row>
    <row r="17" spans="1:84" x14ac:dyDescent="0.25">
      <c r="A17" s="36" t="s">
        <v>36</v>
      </c>
      <c r="B17" s="61" t="s">
        <v>22</v>
      </c>
      <c r="C17" s="31">
        <v>0</v>
      </c>
      <c r="D17" s="31">
        <v>0</v>
      </c>
      <c r="E17" s="31">
        <v>0</v>
      </c>
      <c r="F17" s="31">
        <v>0</v>
      </c>
      <c r="G17" s="31">
        <v>1</v>
      </c>
      <c r="H17" s="31">
        <v>0</v>
      </c>
      <c r="I17" s="37">
        <f t="shared" si="12"/>
        <v>12</v>
      </c>
      <c r="J17" s="30" t="s">
        <v>17</v>
      </c>
      <c r="K17" s="30" t="s">
        <v>17</v>
      </c>
      <c r="L17" s="30" t="s">
        <v>17</v>
      </c>
      <c r="M17" s="61" t="s">
        <v>22</v>
      </c>
      <c r="N17" s="30" t="s">
        <v>17</v>
      </c>
      <c r="O17" s="30" t="s">
        <v>17</v>
      </c>
      <c r="P17" s="30" t="s">
        <v>17</v>
      </c>
      <c r="Q17" s="31">
        <v>0</v>
      </c>
      <c r="R17" s="31">
        <v>0</v>
      </c>
      <c r="S17" s="31">
        <v>0</v>
      </c>
      <c r="T17" s="31">
        <v>0</v>
      </c>
      <c r="U17" s="31">
        <v>1</v>
      </c>
      <c r="V17" s="31">
        <v>0</v>
      </c>
      <c r="W17" s="31">
        <f t="shared" si="13"/>
        <v>12</v>
      </c>
      <c r="X17" s="30" t="s">
        <v>17</v>
      </c>
      <c r="Y17" s="30" t="s">
        <v>17</v>
      </c>
      <c r="Z17" s="30" t="s">
        <v>17</v>
      </c>
      <c r="AA17" s="61" t="s">
        <v>22</v>
      </c>
      <c r="AB17" s="30" t="s">
        <v>17</v>
      </c>
      <c r="AC17" s="30" t="s">
        <v>17</v>
      </c>
      <c r="AD17" s="30" t="s">
        <v>17</v>
      </c>
      <c r="AE17" s="31">
        <v>0</v>
      </c>
      <c r="AF17" s="31">
        <v>0</v>
      </c>
      <c r="AG17" s="31">
        <v>0</v>
      </c>
      <c r="AH17" s="31">
        <v>0</v>
      </c>
      <c r="AI17" s="31">
        <v>1</v>
      </c>
      <c r="AJ17" s="31">
        <v>0</v>
      </c>
      <c r="AK17" s="31">
        <f t="shared" si="14"/>
        <v>12</v>
      </c>
      <c r="AL17" s="61" t="s">
        <v>22</v>
      </c>
      <c r="AM17" s="61" t="s">
        <v>22</v>
      </c>
      <c r="AN17" s="61" t="s">
        <v>22</v>
      </c>
      <c r="AO17" s="30" t="s">
        <v>17</v>
      </c>
      <c r="AP17" s="61" t="s">
        <v>22</v>
      </c>
      <c r="AQ17" s="30" t="s">
        <v>17</v>
      </c>
      <c r="AR17" s="30" t="s">
        <v>17</v>
      </c>
      <c r="AS17" s="31">
        <v>0</v>
      </c>
      <c r="AT17" s="31">
        <v>0</v>
      </c>
      <c r="AU17" s="31">
        <v>0</v>
      </c>
      <c r="AV17" s="31">
        <v>0</v>
      </c>
      <c r="AW17" s="31">
        <v>4</v>
      </c>
      <c r="AX17" s="31">
        <v>0</v>
      </c>
      <c r="AY17" s="31">
        <f t="shared" si="5"/>
        <v>48</v>
      </c>
      <c r="AZ17" s="61" t="s">
        <v>22</v>
      </c>
      <c r="BA17" s="61" t="s">
        <v>22</v>
      </c>
      <c r="BB17" s="61" t="s">
        <v>22</v>
      </c>
      <c r="BC17" s="61" t="s">
        <v>22</v>
      </c>
      <c r="BD17" s="30" t="s">
        <v>17</v>
      </c>
      <c r="BE17" s="30" t="s">
        <v>17</v>
      </c>
      <c r="BF17" s="30" t="s">
        <v>17</v>
      </c>
      <c r="BG17" s="31">
        <v>0</v>
      </c>
      <c r="BH17" s="31">
        <v>0</v>
      </c>
      <c r="BI17" s="31">
        <v>0</v>
      </c>
      <c r="BJ17" s="31">
        <v>0</v>
      </c>
      <c r="BK17" s="31">
        <v>4</v>
      </c>
      <c r="BL17" s="31">
        <v>0</v>
      </c>
      <c r="BM17" s="31">
        <f t="shared" ref="BM17" si="24">(7*BG17)+(7*BH17)+(12*BI17)+(12*BK17)+(12*BL17)</f>
        <v>48</v>
      </c>
      <c r="BN17" s="30" t="s">
        <v>17</v>
      </c>
      <c r="BO17" s="30" t="s">
        <v>17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0</v>
      </c>
      <c r="BV17" s="31">
        <f t="shared" ref="BV17" si="25">(7*BP17)+(7*BQ17)+(12*BR17)+(12*BT17)+(12*BU17)</f>
        <v>0</v>
      </c>
      <c r="BW17" s="31">
        <f t="shared" ref="BW17:BX19" si="26">SUM(C17,Q17,AE17,AS17,BG17)</f>
        <v>0</v>
      </c>
      <c r="BX17" s="31">
        <f t="shared" si="26"/>
        <v>0</v>
      </c>
      <c r="BY17" s="31">
        <f t="shared" si="20"/>
        <v>0</v>
      </c>
      <c r="BZ17" s="31">
        <f t="shared" si="22"/>
        <v>0</v>
      </c>
      <c r="CA17" s="31">
        <f>SUM(G17,U17,AI17,AW17,BK17)</f>
        <v>11</v>
      </c>
      <c r="CB17" s="31">
        <f t="shared" ref="CB17:CB19" si="27">SUM(H17,V17,AJ17,AX17,BL17,BU17)</f>
        <v>0</v>
      </c>
      <c r="CC17" s="36">
        <f t="shared" si="2"/>
        <v>11</v>
      </c>
      <c r="CD17" s="36">
        <f t="shared" si="23"/>
        <v>132</v>
      </c>
      <c r="CE17" s="49">
        <f t="shared" si="21"/>
        <v>-48</v>
      </c>
    </row>
    <row r="18" spans="1:84" x14ac:dyDescent="0.25">
      <c r="A18" s="36" t="s">
        <v>32</v>
      </c>
      <c r="B18" s="36" t="s">
        <v>18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1</v>
      </c>
      <c r="I18" s="31">
        <f>(7*C18)+(7*D18)+(12*E18)+(8*G18)+(12*H18)</f>
        <v>12</v>
      </c>
      <c r="J18" s="55" t="s">
        <v>16</v>
      </c>
      <c r="K18" s="30" t="s">
        <v>17</v>
      </c>
      <c r="L18" s="30" t="s">
        <v>17</v>
      </c>
      <c r="M18" s="30" t="s">
        <v>17</v>
      </c>
      <c r="N18" s="36" t="s">
        <v>18</v>
      </c>
      <c r="O18" s="30" t="s">
        <v>17</v>
      </c>
      <c r="P18" s="30" t="s">
        <v>17</v>
      </c>
      <c r="Q18" s="31">
        <v>0</v>
      </c>
      <c r="R18" s="31">
        <v>0</v>
      </c>
      <c r="S18" s="31">
        <v>1</v>
      </c>
      <c r="T18" s="31">
        <v>0</v>
      </c>
      <c r="U18" s="31">
        <v>0</v>
      </c>
      <c r="V18" s="31">
        <v>1</v>
      </c>
      <c r="W18" s="31">
        <f>(7*Q18)+(7*R18)+(12*S18)+(8*U18)+(12*V18)</f>
        <v>24</v>
      </c>
      <c r="X18" s="55" t="s">
        <v>16</v>
      </c>
      <c r="Y18" s="30" t="s">
        <v>17</v>
      </c>
      <c r="Z18" s="30" t="s">
        <v>17</v>
      </c>
      <c r="AA18" s="30" t="s">
        <v>17</v>
      </c>
      <c r="AB18" s="36" t="s">
        <v>18</v>
      </c>
      <c r="AC18" s="30" t="s">
        <v>17</v>
      </c>
      <c r="AD18" s="30" t="s">
        <v>17</v>
      </c>
      <c r="AE18" s="31">
        <v>0</v>
      </c>
      <c r="AF18" s="31">
        <v>0</v>
      </c>
      <c r="AG18" s="31">
        <v>1</v>
      </c>
      <c r="AH18" s="31">
        <v>0</v>
      </c>
      <c r="AI18" s="31">
        <v>0</v>
      </c>
      <c r="AJ18" s="31">
        <v>1</v>
      </c>
      <c r="AK18" s="31">
        <f>(7*AE18)+(7*AF18)+(12*AG18)+(8*AI18)+(12*AJ18)</f>
        <v>24</v>
      </c>
      <c r="AL18" s="55" t="s">
        <v>16</v>
      </c>
      <c r="AM18" s="30" t="s">
        <v>17</v>
      </c>
      <c r="AN18" s="30" t="s">
        <v>17</v>
      </c>
      <c r="AO18" s="30" t="s">
        <v>17</v>
      </c>
      <c r="AP18" s="36" t="s">
        <v>18</v>
      </c>
      <c r="AQ18" s="30" t="s">
        <v>17</v>
      </c>
      <c r="AR18" s="36" t="s">
        <v>18</v>
      </c>
      <c r="AS18" s="31">
        <v>0</v>
      </c>
      <c r="AT18" s="31">
        <v>0</v>
      </c>
      <c r="AU18" s="31">
        <v>1</v>
      </c>
      <c r="AV18" s="31">
        <v>0</v>
      </c>
      <c r="AW18" s="31">
        <v>0</v>
      </c>
      <c r="AX18" s="31">
        <v>2</v>
      </c>
      <c r="AY18" s="31">
        <f>(7*AS18)+(7*AT18)+(12*AU18)+(8*AW18)+(12*AX18)</f>
        <v>36</v>
      </c>
      <c r="AZ18" s="55" t="s">
        <v>16</v>
      </c>
      <c r="BA18" s="30" t="s">
        <v>17</v>
      </c>
      <c r="BB18" s="30" t="s">
        <v>17</v>
      </c>
      <c r="BC18" s="30" t="s">
        <v>17</v>
      </c>
      <c r="BD18" s="36" t="s">
        <v>18</v>
      </c>
      <c r="BE18" s="30" t="s">
        <v>17</v>
      </c>
      <c r="BF18" s="36" t="s">
        <v>18</v>
      </c>
      <c r="BG18" s="31">
        <v>0</v>
      </c>
      <c r="BH18" s="31">
        <v>0</v>
      </c>
      <c r="BI18" s="31">
        <v>1</v>
      </c>
      <c r="BJ18" s="31">
        <v>0</v>
      </c>
      <c r="BK18" s="31">
        <v>0</v>
      </c>
      <c r="BL18" s="31">
        <v>2</v>
      </c>
      <c r="BM18" s="31">
        <f>(7*BG18)+(7*BH18)+(12*BI18)+(8*BK18)+(12*BL18)</f>
        <v>36</v>
      </c>
      <c r="BN18" s="55" t="s">
        <v>16</v>
      </c>
      <c r="BO18" s="30" t="s">
        <v>17</v>
      </c>
      <c r="BP18" s="31">
        <v>0</v>
      </c>
      <c r="BQ18" s="31">
        <v>0</v>
      </c>
      <c r="BR18" s="31">
        <v>1</v>
      </c>
      <c r="BS18" s="31">
        <v>0</v>
      </c>
      <c r="BT18" s="31">
        <v>0</v>
      </c>
      <c r="BU18" s="31">
        <v>0</v>
      </c>
      <c r="BV18" s="31">
        <f>(7*BP18)+(7*BQ18)+(12*BR18)+(8*BT18)+(12*BU18)</f>
        <v>12</v>
      </c>
      <c r="BW18" s="31">
        <f t="shared" si="26"/>
        <v>0</v>
      </c>
      <c r="BX18" s="31">
        <f t="shared" si="26"/>
        <v>0</v>
      </c>
      <c r="BY18" s="31">
        <f t="shared" si="20"/>
        <v>0</v>
      </c>
      <c r="BZ18" s="31">
        <f>SUM(E18,S18,AG18,AU18,BI18,BR18)</f>
        <v>5</v>
      </c>
      <c r="CA18" s="31">
        <f>SUM(G18,U18,AI18,AW18,BK18)</f>
        <v>0</v>
      </c>
      <c r="CB18" s="31">
        <f>SUM(H18,V18,AJ18,AX18,BL18,BU18)</f>
        <v>7</v>
      </c>
      <c r="CC18" s="36">
        <f>SUM(BW18:CB18)</f>
        <v>12</v>
      </c>
      <c r="CD18" s="36">
        <f t="shared" si="23"/>
        <v>132</v>
      </c>
      <c r="CE18" s="49">
        <f t="shared" si="21"/>
        <v>-48</v>
      </c>
    </row>
    <row r="19" spans="1:84" x14ac:dyDescent="0.25">
      <c r="A19" s="36" t="s">
        <v>45</v>
      </c>
      <c r="B19" s="55" t="s">
        <v>16</v>
      </c>
      <c r="C19" s="31">
        <v>0</v>
      </c>
      <c r="D19" s="31">
        <v>0</v>
      </c>
      <c r="E19" s="31">
        <v>1</v>
      </c>
      <c r="F19" s="31">
        <v>0</v>
      </c>
      <c r="G19" s="31">
        <v>0</v>
      </c>
      <c r="H19" s="31">
        <v>0</v>
      </c>
      <c r="I19" s="31">
        <f>(7*C19)+(7*D19)+(12*E19)+(8*G19)+(12*H19)</f>
        <v>12</v>
      </c>
      <c r="J19" s="30" t="s">
        <v>17</v>
      </c>
      <c r="K19" s="30" t="s">
        <v>17</v>
      </c>
      <c r="L19" s="30" t="s">
        <v>17</v>
      </c>
      <c r="M19" s="30" t="s">
        <v>17</v>
      </c>
      <c r="N19" s="30" t="s">
        <v>17</v>
      </c>
      <c r="O19" s="30" t="s">
        <v>17</v>
      </c>
      <c r="P19" s="30" t="s">
        <v>17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f>(7*Q19)+(7*R19)+(12*S19)+(8*U19)+(12*V19)</f>
        <v>0</v>
      </c>
      <c r="X19" s="30" t="s">
        <v>17</v>
      </c>
      <c r="Y19" s="30" t="s">
        <v>17</v>
      </c>
      <c r="Z19" s="30" t="s">
        <v>17</v>
      </c>
      <c r="AA19" s="30" t="s">
        <v>17</v>
      </c>
      <c r="AB19" s="55" t="s">
        <v>16</v>
      </c>
      <c r="AC19" s="55" t="s">
        <v>16</v>
      </c>
      <c r="AD19" s="55" t="s">
        <v>16</v>
      </c>
      <c r="AE19" s="31">
        <v>0</v>
      </c>
      <c r="AF19" s="31">
        <v>0</v>
      </c>
      <c r="AG19" s="31">
        <v>3</v>
      </c>
      <c r="AH19" s="31">
        <v>0</v>
      </c>
      <c r="AI19" s="31">
        <v>0</v>
      </c>
      <c r="AJ19" s="31">
        <v>0</v>
      </c>
      <c r="AK19" s="31">
        <f>(7*AE19)+(7*AF19)+(12*AG19)+(8*AI19)+(12*AJ19)</f>
        <v>36</v>
      </c>
      <c r="AL19" s="30" t="s">
        <v>17</v>
      </c>
      <c r="AM19" s="30" t="s">
        <v>17</v>
      </c>
      <c r="AN19" s="30" t="s">
        <v>17</v>
      </c>
      <c r="AO19" s="55" t="s">
        <v>16</v>
      </c>
      <c r="AP19" s="30" t="s">
        <v>17</v>
      </c>
      <c r="AQ19" s="30" t="s">
        <v>17</v>
      </c>
      <c r="AR19" s="55" t="s">
        <v>16</v>
      </c>
      <c r="AS19" s="31">
        <v>0</v>
      </c>
      <c r="AT19" s="31">
        <v>0</v>
      </c>
      <c r="AU19" s="31">
        <v>2</v>
      </c>
      <c r="AV19" s="31">
        <v>0</v>
      </c>
      <c r="AW19" s="31">
        <v>0</v>
      </c>
      <c r="AX19" s="31">
        <v>0</v>
      </c>
      <c r="AY19" s="31">
        <f>(7*AS19)+(7*AT19)+(12*AU19)+(8*AW19)+(12*AX19)</f>
        <v>24</v>
      </c>
      <c r="AZ19" s="30" t="s">
        <v>17</v>
      </c>
      <c r="BA19" s="30" t="s">
        <v>17</v>
      </c>
      <c r="BB19" s="30" t="s">
        <v>17</v>
      </c>
      <c r="BC19" s="30" t="s">
        <v>17</v>
      </c>
      <c r="BD19" s="55" t="s">
        <v>16</v>
      </c>
      <c r="BE19" s="55" t="s">
        <v>16</v>
      </c>
      <c r="BF19" s="55" t="s">
        <v>16</v>
      </c>
      <c r="BG19" s="31">
        <v>0</v>
      </c>
      <c r="BH19" s="31">
        <v>0</v>
      </c>
      <c r="BI19" s="31">
        <v>3</v>
      </c>
      <c r="BJ19" s="31">
        <v>0</v>
      </c>
      <c r="BK19" s="31">
        <v>0</v>
      </c>
      <c r="BL19" s="31">
        <v>0</v>
      </c>
      <c r="BM19" s="31">
        <f>(7*BG19)+(7*BH19)+(12*BI19)+(8*BK19)+(12*BL19)</f>
        <v>36</v>
      </c>
      <c r="BN19" s="30" t="s">
        <v>17</v>
      </c>
      <c r="BO19" s="30" t="s">
        <v>17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f>(7*BP19)+(7*BQ19)+(12*BR19)+(8*BT19)+(12*BU19)</f>
        <v>0</v>
      </c>
      <c r="BW19" s="31">
        <f t="shared" si="26"/>
        <v>0</v>
      </c>
      <c r="BX19" s="31">
        <f t="shared" si="26"/>
        <v>0</v>
      </c>
      <c r="BY19" s="31">
        <f t="shared" si="20"/>
        <v>0</v>
      </c>
      <c r="BZ19" s="31">
        <f t="shared" si="22"/>
        <v>9</v>
      </c>
      <c r="CA19" s="31">
        <f>SUM(G19,U19,AI19,AW19,BK19)</f>
        <v>0</v>
      </c>
      <c r="CB19" s="31">
        <f t="shared" si="27"/>
        <v>0</v>
      </c>
      <c r="CC19" s="36">
        <f t="shared" si="2"/>
        <v>9</v>
      </c>
      <c r="CD19" s="36">
        <f t="shared" si="23"/>
        <v>108</v>
      </c>
      <c r="CE19" s="49">
        <f t="shared" si="21"/>
        <v>-72</v>
      </c>
      <c r="CF19" t="s">
        <v>46</v>
      </c>
    </row>
    <row r="20" spans="1:84" x14ac:dyDescent="0.25">
      <c r="CC20" s="36"/>
      <c r="CD20" s="41">
        <f>SUM(CD14:CD19)</f>
        <v>630</v>
      </c>
      <c r="CE20" s="49"/>
    </row>
    <row r="21" spans="1:84" ht="36.75" x14ac:dyDescent="0.25">
      <c r="CC21" s="40" t="s">
        <v>19</v>
      </c>
      <c r="CD21" s="41">
        <f>CD20+CD13</f>
        <v>2194</v>
      </c>
      <c r="CE21" s="4"/>
    </row>
    <row r="22" spans="1:84" x14ac:dyDescent="0.25">
      <c r="A22" s="92" t="s">
        <v>48</v>
      </c>
    </row>
    <row r="23" spans="1:84" x14ac:dyDescent="0.25">
      <c r="A23" s="92" t="s">
        <v>49</v>
      </c>
    </row>
    <row r="24" spans="1:84" x14ac:dyDescent="0.25">
      <c r="A24" s="92" t="s">
        <v>50</v>
      </c>
    </row>
    <row r="25" spans="1:84" x14ac:dyDescent="0.25">
      <c r="A25" s="92" t="s">
        <v>53</v>
      </c>
    </row>
    <row r="26" spans="1:84" x14ac:dyDescent="0.25">
      <c r="A26" s="92" t="s">
        <v>52</v>
      </c>
    </row>
    <row r="27" spans="1:84" x14ac:dyDescent="0.25">
      <c r="A27" s="93" t="s">
        <v>51</v>
      </c>
    </row>
    <row r="28" spans="1:84" x14ac:dyDescent="0.25">
      <c r="A28" s="94" t="s">
        <v>54</v>
      </c>
    </row>
  </sheetData>
  <mergeCells count="10">
    <mergeCell ref="CC1:CC2"/>
    <mergeCell ref="CD1:CD2"/>
    <mergeCell ref="CE1:CE2"/>
    <mergeCell ref="BP1:BU1"/>
    <mergeCell ref="C1:H1"/>
    <mergeCell ref="Q1:V1"/>
    <mergeCell ref="AE1:AJ1"/>
    <mergeCell ref="AS1:AX1"/>
    <mergeCell ref="BG1:BL1"/>
    <mergeCell ref="BW1:CB1"/>
  </mergeCells>
  <pageMargins left="0.7" right="0.7" top="0.75" bottom="0.75" header="0.3" footer="0.3"/>
  <ignoredErrors>
    <ignoredError sqref="CD13 BW7 CD10 BZ15:CD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Sheet1</vt:lpstr>
      <vt:lpstr>MACRH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2026-03-10T14:27:56Z</dcterms:modified>
</cp:coreProperties>
</file>