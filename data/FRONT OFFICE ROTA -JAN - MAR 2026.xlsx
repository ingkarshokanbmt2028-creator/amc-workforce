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Jan 2026\"/>
    </mc:Choice>
  </mc:AlternateContent>
  <xr:revisionPtr revIDLastSave="0" documentId="13_ncr:1_{10B2FCCC-68FF-4FB5-A404-4153A4CD74C6}" xr6:coauthVersionLast="36" xr6:coauthVersionMax="47" xr10:uidLastSave="{00000000-0000-0000-0000-000000000000}"/>
  <bookViews>
    <workbookView xWindow="0" yWindow="0" windowWidth="4080" windowHeight="11145" activeTab="2" xr2:uid="{6D04D271-C58A-44D7-8524-86A57DDB5BC4}"/>
  </bookViews>
  <sheets>
    <sheet name="JAN 2026" sheetId="1" r:id="rId1"/>
    <sheet name="FEB" sheetId="2" r:id="rId2"/>
    <sheet name="MAR" sheetId="4" r:id="rId3"/>
  </sheets>
  <definedNames>
    <definedName name="_xlnm._FilterDatabase" localSheetId="0" hidden="1">'JAN 2026'!$A$25:$CJ$26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S7" i="4" l="1"/>
  <c r="CS6" i="4"/>
  <c r="CS5" i="4"/>
  <c r="CR5" i="4"/>
  <c r="CR6" i="4"/>
  <c r="CP5" i="4"/>
  <c r="CP6" i="4"/>
  <c r="CN5" i="4"/>
  <c r="CN6" i="4"/>
  <c r="CH5" i="4"/>
  <c r="CH6" i="4"/>
  <c r="BW5" i="4"/>
  <c r="BW6" i="4"/>
  <c r="BG5" i="4"/>
  <c r="BG6" i="4"/>
  <c r="AA5" i="4"/>
  <c r="AA6" i="4"/>
  <c r="CR8" i="4"/>
  <c r="CR9" i="4"/>
  <c r="CR10" i="4"/>
  <c r="CR7" i="4"/>
  <c r="CO24" i="4"/>
  <c r="CN24" i="4"/>
  <c r="CM24" i="4"/>
  <c r="CJ24" i="4"/>
  <c r="CI24" i="4"/>
  <c r="CQ24" i="4"/>
  <c r="CH24" i="4"/>
  <c r="BG24" i="4"/>
  <c r="AQ24" i="4"/>
  <c r="AA24" i="4"/>
  <c r="K24" i="4"/>
  <c r="CO23" i="4"/>
  <c r="CN23" i="4"/>
  <c r="CM23" i="4"/>
  <c r="CJ23" i="4"/>
  <c r="CI23" i="4"/>
  <c r="CH23" i="4"/>
  <c r="K23" i="4"/>
  <c r="CP20" i="4"/>
  <c r="CO20" i="4"/>
  <c r="CN20" i="4"/>
  <c r="CM20" i="4"/>
  <c r="CL20" i="4"/>
  <c r="CK20" i="4"/>
  <c r="CJ20" i="4"/>
  <c r="CI20" i="4"/>
  <c r="CH20" i="4"/>
  <c r="BW20" i="4"/>
  <c r="BG20" i="4"/>
  <c r="AQ20" i="4"/>
  <c r="AA20" i="4"/>
  <c r="K20" i="4"/>
  <c r="CP19" i="4"/>
  <c r="CO19" i="4"/>
  <c r="CN19" i="4"/>
  <c r="CM19" i="4"/>
  <c r="CL19" i="4"/>
  <c r="CK19" i="4"/>
  <c r="CJ19" i="4"/>
  <c r="CI19" i="4"/>
  <c r="CH19" i="4"/>
  <c r="BW19" i="4"/>
  <c r="BG19" i="4"/>
  <c r="AQ19" i="4"/>
  <c r="AA19" i="4"/>
  <c r="K19" i="4"/>
  <c r="CP18" i="4"/>
  <c r="CO18" i="4"/>
  <c r="CN18" i="4"/>
  <c r="CM18" i="4"/>
  <c r="CL18" i="4"/>
  <c r="CK18" i="4"/>
  <c r="CJ18" i="4"/>
  <c r="CI18" i="4"/>
  <c r="CH18" i="4"/>
  <c r="BW18" i="4"/>
  <c r="BG18" i="4"/>
  <c r="AQ18" i="4"/>
  <c r="AA18" i="4"/>
  <c r="K18" i="4"/>
  <c r="CP17" i="4"/>
  <c r="CO17" i="4"/>
  <c r="CN17" i="4"/>
  <c r="CM17" i="4"/>
  <c r="CL17" i="4"/>
  <c r="CK17" i="4"/>
  <c r="CJ17" i="4"/>
  <c r="CI17" i="4"/>
  <c r="CH17" i="4"/>
  <c r="BW17" i="4"/>
  <c r="BG17" i="4"/>
  <c r="AQ17" i="4"/>
  <c r="AA17" i="4"/>
  <c r="K17" i="4"/>
  <c r="CR17" i="4"/>
  <c r="CS17" i="4"/>
  <c r="CP11" i="4"/>
  <c r="CO11" i="4"/>
  <c r="CN11" i="4"/>
  <c r="CM11" i="4"/>
  <c r="CL11" i="4"/>
  <c r="CK11" i="4"/>
  <c r="CJ11" i="4"/>
  <c r="CI11" i="4"/>
  <c r="CH11" i="4"/>
  <c r="BW11" i="4"/>
  <c r="BG11" i="4"/>
  <c r="AQ11" i="4"/>
  <c r="AA11" i="4"/>
  <c r="K11" i="4"/>
  <c r="CP10" i="4"/>
  <c r="CO10" i="4"/>
  <c r="CN10" i="4"/>
  <c r="CM10" i="4"/>
  <c r="CL10" i="4"/>
  <c r="CK10" i="4"/>
  <c r="CJ10" i="4"/>
  <c r="CI10" i="4"/>
  <c r="CH10" i="4"/>
  <c r="BW10" i="4"/>
  <c r="BG10" i="4"/>
  <c r="AQ10" i="4"/>
  <c r="AA10" i="4"/>
  <c r="K10" i="4"/>
  <c r="CO9" i="4"/>
  <c r="CN9" i="4"/>
  <c r="CM9" i="4"/>
  <c r="CL9" i="4"/>
  <c r="CK9" i="4"/>
  <c r="CJ9" i="4"/>
  <c r="CI9" i="4"/>
  <c r="CH9" i="4"/>
  <c r="BW9" i="4"/>
  <c r="BG9" i="4"/>
  <c r="AQ9" i="4"/>
  <c r="AA9" i="4"/>
  <c r="K9" i="4"/>
  <c r="CP8" i="4"/>
  <c r="CO8" i="4"/>
  <c r="CN8" i="4"/>
  <c r="CM8" i="4"/>
  <c r="CL8" i="4"/>
  <c r="CK8" i="4"/>
  <c r="CJ8" i="4"/>
  <c r="CI8" i="4"/>
  <c r="CH8" i="4"/>
  <c r="BW8" i="4"/>
  <c r="BG8" i="4"/>
  <c r="AQ8" i="4"/>
  <c r="AA8" i="4"/>
  <c r="K8" i="4"/>
  <c r="CP7" i="4"/>
  <c r="CO7" i="4"/>
  <c r="CN7" i="4"/>
  <c r="CM7" i="4"/>
  <c r="CL7" i="4"/>
  <c r="CK7" i="4"/>
  <c r="CJ7" i="4"/>
  <c r="CI7" i="4"/>
  <c r="CH7" i="4"/>
  <c r="BW7" i="4"/>
  <c r="BG7" i="4"/>
  <c r="AQ7" i="4"/>
  <c r="AA7" i="4"/>
  <c r="K7" i="4"/>
  <c r="CO6" i="4"/>
  <c r="CM6" i="4"/>
  <c r="CL6" i="4"/>
  <c r="CK6" i="4"/>
  <c r="CJ6" i="4"/>
  <c r="CI6" i="4"/>
  <c r="AQ6" i="4"/>
  <c r="K6" i="4"/>
  <c r="CQ10" i="4"/>
  <c r="CS9" i="4"/>
  <c r="CR19" i="4"/>
  <c r="CS19" i="4"/>
  <c r="CR18" i="4"/>
  <c r="CS18" i="4"/>
  <c r="CQ8" i="4"/>
  <c r="CQ18" i="4"/>
  <c r="CS8" i="4"/>
  <c r="CQ17" i="4"/>
  <c r="CQ7" i="4"/>
  <c r="CR20" i="4"/>
  <c r="CS20" i="4"/>
  <c r="CQ6" i="4"/>
  <c r="CR24" i="4"/>
  <c r="CS24" i="4"/>
  <c r="CQ9" i="4"/>
  <c r="CR23" i="4"/>
  <c r="CS23" i="4"/>
  <c r="CS10" i="4"/>
  <c r="CQ19" i="4"/>
  <c r="CD20" i="2"/>
  <c r="CC20" i="2"/>
  <c r="CB20" i="2"/>
  <c r="CA20" i="2"/>
  <c r="BZ20" i="2"/>
  <c r="BY20" i="2"/>
  <c r="BX20" i="2"/>
  <c r="BW20" i="2"/>
  <c r="BV20" i="2"/>
  <c r="BG20" i="2"/>
  <c r="AQ20" i="2"/>
  <c r="CD19" i="2"/>
  <c r="CC19" i="2"/>
  <c r="CB19" i="2"/>
  <c r="CA19" i="2"/>
  <c r="BZ19" i="2"/>
  <c r="BY19" i="2"/>
  <c r="BX19" i="2"/>
  <c r="BW19" i="2"/>
  <c r="BV19" i="2"/>
  <c r="BG19" i="2"/>
  <c r="AQ19" i="2"/>
  <c r="CF19" i="2"/>
  <c r="CG19" i="2"/>
  <c r="CD18" i="2"/>
  <c r="CC18" i="2"/>
  <c r="CB18" i="2"/>
  <c r="CA18" i="2"/>
  <c r="BZ18" i="2"/>
  <c r="BY18" i="2"/>
  <c r="BX18" i="2"/>
  <c r="BW18" i="2"/>
  <c r="BV18" i="2"/>
  <c r="BG18" i="2"/>
  <c r="AQ18" i="2"/>
  <c r="CD17" i="2"/>
  <c r="CC17" i="2"/>
  <c r="CB17" i="2"/>
  <c r="CA17" i="2"/>
  <c r="BZ17" i="2"/>
  <c r="BY17" i="2"/>
  <c r="BX17" i="2"/>
  <c r="BW17" i="2"/>
  <c r="BV17" i="2"/>
  <c r="BG17" i="2"/>
  <c r="AQ17" i="2"/>
  <c r="CD9" i="2"/>
  <c r="CC9" i="2"/>
  <c r="CB9" i="2"/>
  <c r="CA9" i="2"/>
  <c r="BZ9" i="2"/>
  <c r="BY9" i="2"/>
  <c r="BX9" i="2"/>
  <c r="BW9" i="2"/>
  <c r="BV9" i="2"/>
  <c r="AQ9" i="2"/>
  <c r="AA9" i="2"/>
  <c r="CD8" i="2"/>
  <c r="CC8" i="2"/>
  <c r="CB8" i="2"/>
  <c r="CA8" i="2"/>
  <c r="BZ8" i="2"/>
  <c r="BY8" i="2"/>
  <c r="BX8" i="2"/>
  <c r="BW8" i="2"/>
  <c r="BV8" i="2"/>
  <c r="BG8" i="2"/>
  <c r="AQ8" i="2"/>
  <c r="AA8" i="2"/>
  <c r="K8" i="2"/>
  <c r="CD7" i="2"/>
  <c r="CC7" i="2"/>
  <c r="CB7" i="2"/>
  <c r="CA7" i="2"/>
  <c r="BY7" i="2"/>
  <c r="BX7" i="2"/>
  <c r="BW7" i="2"/>
  <c r="BV7" i="2"/>
  <c r="BG7" i="2"/>
  <c r="AA7" i="2"/>
  <c r="K7" i="2"/>
  <c r="CC6" i="2"/>
  <c r="CA6" i="2"/>
  <c r="BZ6" i="2"/>
  <c r="BY6" i="2"/>
  <c r="BX6" i="2"/>
  <c r="BW6" i="2"/>
  <c r="BV6" i="2"/>
  <c r="BG6" i="2"/>
  <c r="AQ6" i="2"/>
  <c r="AA6" i="2"/>
  <c r="K6" i="2"/>
  <c r="CD5" i="2"/>
  <c r="CC5" i="2"/>
  <c r="CB5" i="2"/>
  <c r="CA5" i="2"/>
  <c r="BY5" i="2"/>
  <c r="BX5" i="2"/>
  <c r="BW5" i="2"/>
  <c r="BV5" i="2"/>
  <c r="AQ5" i="2"/>
  <c r="K5" i="2"/>
  <c r="CF18" i="2"/>
  <c r="CG18" i="2"/>
  <c r="CE7" i="2"/>
  <c r="CF8" i="2"/>
  <c r="CG8" i="2"/>
  <c r="CE8" i="2"/>
  <c r="CF9" i="2"/>
  <c r="CG9" i="2"/>
  <c r="CF17" i="2"/>
  <c r="CG17" i="2"/>
  <c r="CG5" i="2"/>
  <c r="CE5" i="2"/>
  <c r="CE18" i="2"/>
  <c r="CE17" i="2"/>
  <c r="CF20" i="2"/>
  <c r="CG20" i="2"/>
  <c r="CE9" i="2"/>
  <c r="CF6" i="2"/>
  <c r="CG6" i="2"/>
  <c r="CE20" i="2"/>
  <c r="CE6" i="2"/>
  <c r="CG7" i="2"/>
  <c r="CE19" i="2"/>
  <c r="CG21" i="1"/>
  <c r="CF21" i="1"/>
  <c r="CE21" i="1"/>
  <c r="CD21" i="1"/>
  <c r="CC21" i="1"/>
  <c r="CB21" i="1"/>
  <c r="CA21" i="1"/>
  <c r="BZ21" i="1"/>
  <c r="CH21" i="1"/>
  <c r="BY21" i="1"/>
  <c r="BJ21" i="1"/>
  <c r="AT21" i="1"/>
  <c r="CG20" i="1"/>
  <c r="CF20" i="1"/>
  <c r="CE20" i="1"/>
  <c r="CD20" i="1"/>
  <c r="CC20" i="1"/>
  <c r="CB20" i="1"/>
  <c r="CA20" i="1"/>
  <c r="BZ20" i="1"/>
  <c r="BY20" i="1"/>
  <c r="AT20" i="1"/>
  <c r="BJ20" i="1"/>
  <c r="CI20" i="1"/>
  <c r="CJ20" i="1"/>
  <c r="CG19" i="1"/>
  <c r="CF19" i="1"/>
  <c r="CE19" i="1"/>
  <c r="CD19" i="1"/>
  <c r="CC19" i="1"/>
  <c r="CB19" i="1"/>
  <c r="CA19" i="1"/>
  <c r="BZ19" i="1"/>
  <c r="BY19" i="1"/>
  <c r="BJ19" i="1"/>
  <c r="AT19" i="1"/>
  <c r="CI19" i="1"/>
  <c r="CJ19" i="1"/>
  <c r="CG18" i="1"/>
  <c r="CF18" i="1"/>
  <c r="CE18" i="1"/>
  <c r="CD18" i="1"/>
  <c r="CC18" i="1"/>
  <c r="CB18" i="1"/>
  <c r="CA18" i="1"/>
  <c r="BZ18" i="1"/>
  <c r="BY18" i="1"/>
  <c r="BJ18" i="1"/>
  <c r="AT18" i="1"/>
  <c r="CI18" i="1"/>
  <c r="CJ18" i="1"/>
  <c r="CG11" i="1"/>
  <c r="CF11" i="1"/>
  <c r="CE11" i="1"/>
  <c r="CD11" i="1"/>
  <c r="CC11" i="1"/>
  <c r="CB11" i="1"/>
  <c r="CA11" i="1"/>
  <c r="CH11" i="1"/>
  <c r="BZ11" i="1"/>
  <c r="BY11" i="1"/>
  <c r="BJ11" i="1"/>
  <c r="AT11" i="1"/>
  <c r="AD11" i="1"/>
  <c r="N11" i="1"/>
  <c r="CG10" i="1"/>
  <c r="CF10" i="1"/>
  <c r="CE10" i="1"/>
  <c r="CD10" i="1"/>
  <c r="CC10" i="1"/>
  <c r="CB10" i="1"/>
  <c r="CA10" i="1"/>
  <c r="BZ10" i="1"/>
  <c r="BY10" i="1"/>
  <c r="BJ10" i="1"/>
  <c r="AT10" i="1"/>
  <c r="N10" i="1"/>
  <c r="AD10" i="1"/>
  <c r="CI10" i="1"/>
  <c r="CJ10" i="1"/>
  <c r="CG9" i="1"/>
  <c r="CF9" i="1"/>
  <c r="CE9" i="1"/>
  <c r="CD9" i="1"/>
  <c r="CC9" i="1"/>
  <c r="CB9" i="1"/>
  <c r="CA9" i="1"/>
  <c r="BZ9" i="1"/>
  <c r="BY9" i="1"/>
  <c r="BJ9" i="1"/>
  <c r="N9" i="1"/>
  <c r="AD9" i="1"/>
  <c r="AT9" i="1"/>
  <c r="CI9" i="1"/>
  <c r="CJ9" i="1"/>
  <c r="CG8" i="1"/>
  <c r="CF8" i="1"/>
  <c r="CE8" i="1"/>
  <c r="CD8" i="1"/>
  <c r="CC8" i="1"/>
  <c r="CB8" i="1"/>
  <c r="CA8" i="1"/>
  <c r="CH8" i="1"/>
  <c r="BZ8" i="1"/>
  <c r="BY8" i="1"/>
  <c r="N8" i="1"/>
  <c r="AD8" i="1"/>
  <c r="AT8" i="1"/>
  <c r="BJ8" i="1"/>
  <c r="CI8" i="1"/>
  <c r="CJ8" i="1"/>
  <c r="CG7" i="1"/>
  <c r="CF7" i="1"/>
  <c r="CE7" i="1"/>
  <c r="CD7" i="1"/>
  <c r="CC7" i="1"/>
  <c r="CB7" i="1"/>
  <c r="CA7" i="1"/>
  <c r="CH7" i="1"/>
  <c r="BZ7" i="1"/>
  <c r="BY7" i="1"/>
  <c r="BJ7" i="1"/>
  <c r="AT7" i="1"/>
  <c r="AD7" i="1"/>
  <c r="N7" i="1"/>
  <c r="CG6" i="1"/>
  <c r="CF6" i="1"/>
  <c r="CE6" i="1"/>
  <c r="CD6" i="1"/>
  <c r="CC6" i="1"/>
  <c r="CB6" i="1"/>
  <c r="CA6" i="1"/>
  <c r="CH6" i="1"/>
  <c r="BZ6" i="1"/>
  <c r="BY6" i="1"/>
  <c r="BJ6" i="1"/>
  <c r="AT6" i="1"/>
  <c r="AD6" i="1"/>
  <c r="N6" i="1"/>
  <c r="CG5" i="1"/>
  <c r="CF5" i="1"/>
  <c r="CE5" i="1"/>
  <c r="CD5" i="1"/>
  <c r="CC5" i="1"/>
  <c r="CB5" i="1"/>
  <c r="CA5" i="1"/>
  <c r="CH5" i="1"/>
  <c r="BZ5" i="1"/>
  <c r="BY5" i="1"/>
  <c r="BJ5" i="1"/>
  <c r="AT5" i="1"/>
  <c r="AD5" i="1"/>
  <c r="N5" i="1"/>
  <c r="CI6" i="1"/>
  <c r="CJ6" i="1"/>
  <c r="CI11" i="1"/>
  <c r="CJ11" i="1"/>
  <c r="CI21" i="1"/>
  <c r="CJ21" i="1"/>
  <c r="CH9" i="1"/>
  <c r="CH20" i="1"/>
  <c r="CH18" i="1"/>
  <c r="CJ5" i="1"/>
  <c r="CH10" i="1"/>
  <c r="CI7" i="1"/>
  <c r="CJ7" i="1"/>
  <c r="CH19" i="1"/>
</calcChain>
</file>

<file path=xl/sharedStrings.xml><?xml version="1.0" encoding="utf-8"?>
<sst xmlns="http://schemas.openxmlformats.org/spreadsheetml/2006/main" count="1782" uniqueCount="59">
  <si>
    <t>NAME</t>
  </si>
  <si>
    <t>MON</t>
  </si>
  <si>
    <t>TUE</t>
  </si>
  <si>
    <t>WED</t>
  </si>
  <si>
    <t>THU</t>
  </si>
  <si>
    <t>FRI</t>
  </si>
  <si>
    <t>SAT</t>
  </si>
  <si>
    <t>SUN</t>
  </si>
  <si>
    <t>SHIFTS</t>
  </si>
  <si>
    <t>HRS</t>
  </si>
  <si>
    <t>TOTAL SHIFTS</t>
  </si>
  <si>
    <t>TOTAL HOURS</t>
  </si>
  <si>
    <t>O/T</t>
  </si>
  <si>
    <t>M</t>
  </si>
  <si>
    <t>A</t>
  </si>
  <si>
    <t>D</t>
  </si>
  <si>
    <t>N</t>
  </si>
  <si>
    <t>HR</t>
  </si>
  <si>
    <t>L</t>
  </si>
  <si>
    <t>NM</t>
  </si>
  <si>
    <t>O</t>
  </si>
  <si>
    <t>Ellen Ekeworm</t>
  </si>
  <si>
    <t>Bridget Mortey</t>
  </si>
  <si>
    <t>Rebecca O. MacCarthy</t>
  </si>
  <si>
    <t>Rita P. Boakye</t>
  </si>
  <si>
    <t>Mary Owusu Osaah</t>
  </si>
  <si>
    <t>Adriana Brenda Adom</t>
  </si>
  <si>
    <t>Beatrice Asabea</t>
  </si>
  <si>
    <t>SPECIALIST</t>
  </si>
  <si>
    <t>SP</t>
  </si>
  <si>
    <t>Thelma A. Nutakor</t>
  </si>
  <si>
    <t>Priscilla Sackey</t>
  </si>
  <si>
    <t>Sarah A. Amanatey</t>
  </si>
  <si>
    <t>Valerie Amexo</t>
  </si>
  <si>
    <t>William Nnuro</t>
  </si>
  <si>
    <t>Long Day</t>
  </si>
  <si>
    <t>7:00am to 7:00pm</t>
  </si>
  <si>
    <t>Day</t>
  </si>
  <si>
    <t>9:00am to 7:00pm</t>
  </si>
  <si>
    <t>Night</t>
  </si>
  <si>
    <t>7:00pm to 7:00am</t>
  </si>
  <si>
    <t>AL</t>
  </si>
  <si>
    <t>ML</t>
  </si>
  <si>
    <t>Sick Leave</t>
  </si>
  <si>
    <t>SL</t>
  </si>
  <si>
    <t>Roseline Gadagoe</t>
  </si>
  <si>
    <t xml:space="preserve">Morning </t>
  </si>
  <si>
    <t>Off Duty</t>
  </si>
  <si>
    <t xml:space="preserve">Annual Leave </t>
  </si>
  <si>
    <t xml:space="preserve">Maternity Leave </t>
  </si>
  <si>
    <t>7:00am to 4:00pm</t>
  </si>
  <si>
    <t>Roseline Gadogoe</t>
  </si>
  <si>
    <t>Morning</t>
  </si>
  <si>
    <t>Day Off</t>
  </si>
  <si>
    <t>Annual Leave</t>
  </si>
  <si>
    <t>Maternity Leave</t>
  </si>
  <si>
    <t>Thelma Nutakor</t>
  </si>
  <si>
    <t>Priscilla  Sackey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</si>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</sst>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7.5"/>
      <color theme="1"/>
      <name val="Arial"/>
      <family val="2"/>
    </font>
    <font>
      <b/>
      <sz val="7.5"/>
      <name val="Arial"/>
      <family val="2"/>
    </font>
    <font>
      <b/>
      <sz val="7.5"/>
      <color theme="0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4"/>
      <name val="Arial"/>
      <family val="2"/>
    </font>
    <font>
      <sz val="8"/>
      <color rgb="FFC00000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  <font>
      <sz val="8"/>
      <color rgb="FFFF0000"/>
      <name val="Arial"/>
      <family val="2"/>
    </font>
    <font>
      <sz val="8"/>
      <color theme="4" tint="-0.249977111117893"/>
      <name val="Arial"/>
      <family val="2"/>
    </font>
    <font>
      <b/>
      <sz val="12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rgb="FF0070C0"/>
      <name val="Arial"/>
      <family val="2"/>
    </font>
    <font>
      <sz val="11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4"/>
      <name val="Arial"/>
      <family val="2"/>
    </font>
    <font>
      <b/>
      <sz val="7.5"/>
      <color theme="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37">
    <xf numFmtId="0" fontId="0" fillId="0" borderId="0" xfId="0"/>
    <xf numFmtId="0" fontId="0" fillId="0" borderId="2" xfId="0" applyBorder="1"/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4" fillId="2" borderId="12" xfId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6" borderId="14" xfId="1" applyFont="1" applyFill="1" applyBorder="1" applyAlignment="1">
      <alignment horizontal="center" vertical="center"/>
    </xf>
    <xf numFmtId="0" fontId="2" fillId="6" borderId="8" xfId="1" applyFont="1" applyFill="1" applyBorder="1" applyAlignment="1">
      <alignment horizontal="center" vertical="center"/>
    </xf>
    <xf numFmtId="0" fontId="2" fillId="3" borderId="18" xfId="0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2" fillId="4" borderId="20" xfId="0" applyFont="1" applyFill="1" applyBorder="1"/>
    <xf numFmtId="0" fontId="3" fillId="5" borderId="20" xfId="1" applyFont="1" applyFill="1" applyBorder="1" applyAlignment="1">
      <alignment horizontal="center"/>
    </xf>
    <xf numFmtId="0" fontId="3" fillId="5" borderId="19" xfId="1" applyFont="1" applyFill="1" applyBorder="1" applyAlignment="1">
      <alignment horizontal="center"/>
    </xf>
    <xf numFmtId="0" fontId="3" fillId="5" borderId="21" xfId="1" applyFont="1" applyFill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2" borderId="18" xfId="1" applyFont="1" applyBorder="1"/>
    <xf numFmtId="0" fontId="2" fillId="4" borderId="19" xfId="0" applyFont="1" applyFill="1" applyBorder="1"/>
    <xf numFmtId="0" fontId="3" fillId="2" borderId="23" xfId="1" applyFont="1" applyBorder="1"/>
    <xf numFmtId="0" fontId="3" fillId="6" borderId="23" xfId="1" applyFont="1" applyFill="1" applyBorder="1"/>
    <xf numFmtId="0" fontId="3" fillId="6" borderId="18" xfId="1" applyFont="1" applyFill="1" applyBorder="1"/>
    <xf numFmtId="0" fontId="3" fillId="7" borderId="15" xfId="1" applyFont="1" applyFill="1" applyBorder="1" applyAlignment="1">
      <alignment horizontal="center"/>
    </xf>
    <xf numFmtId="0" fontId="3" fillId="7" borderId="24" xfId="1" applyFont="1" applyFill="1" applyBorder="1" applyAlignment="1">
      <alignment horizontal="center"/>
    </xf>
    <xf numFmtId="0" fontId="3" fillId="7" borderId="16" xfId="1" applyFont="1" applyFill="1" applyBorder="1" applyAlignment="1">
      <alignment horizontal="center"/>
    </xf>
    <xf numFmtId="0" fontId="7" fillId="0" borderId="18" xfId="0" applyFont="1" applyBorder="1"/>
    <xf numFmtId="0" fontId="7" fillId="0" borderId="21" xfId="0" applyFont="1" applyBorder="1"/>
    <xf numFmtId="0" fontId="8" fillId="0" borderId="19" xfId="0" applyFont="1" applyBorder="1"/>
    <xf numFmtId="0" fontId="9" fillId="4" borderId="19" xfId="0" applyFont="1" applyFill="1" applyBorder="1"/>
    <xf numFmtId="0" fontId="9" fillId="4" borderId="22" xfId="0" applyFont="1" applyFill="1" applyBorder="1"/>
    <xf numFmtId="0" fontId="10" fillId="5" borderId="20" xfId="1" applyFont="1" applyFill="1" applyBorder="1"/>
    <xf numFmtId="0" fontId="10" fillId="5" borderId="19" xfId="1" applyFont="1" applyFill="1" applyBorder="1"/>
    <xf numFmtId="0" fontId="10" fillId="5" borderId="21" xfId="1" applyFont="1" applyFill="1" applyBorder="1"/>
    <xf numFmtId="0" fontId="10" fillId="5" borderId="22" xfId="1" applyFont="1" applyFill="1" applyBorder="1"/>
    <xf numFmtId="0" fontId="10" fillId="2" borderId="23" xfId="1" applyFont="1" applyBorder="1"/>
    <xf numFmtId="0" fontId="11" fillId="0" borderId="20" xfId="0" applyFont="1" applyBorder="1"/>
    <xf numFmtId="0" fontId="11" fillId="0" borderId="19" xfId="0" applyFont="1" applyBorder="1"/>
    <xf numFmtId="0" fontId="12" fillId="4" borderId="19" xfId="0" applyFont="1" applyFill="1" applyBorder="1"/>
    <xf numFmtId="0" fontId="12" fillId="4" borderId="22" xfId="0" applyFont="1" applyFill="1" applyBorder="1"/>
    <xf numFmtId="0" fontId="11" fillId="4" borderId="19" xfId="0" applyFont="1" applyFill="1" applyBorder="1"/>
    <xf numFmtId="0" fontId="11" fillId="4" borderId="28" xfId="0" applyFont="1" applyFill="1" applyBorder="1"/>
    <xf numFmtId="0" fontId="11" fillId="8" borderId="29" xfId="1" applyFont="1" applyFill="1" applyBorder="1"/>
    <xf numFmtId="0" fontId="11" fillId="8" borderId="25" xfId="1" applyFont="1" applyFill="1" applyBorder="1"/>
    <xf numFmtId="0" fontId="10" fillId="7" borderId="29" xfId="1" applyFont="1" applyFill="1" applyBorder="1"/>
    <xf numFmtId="0" fontId="7" fillId="9" borderId="28" xfId="0" applyFont="1" applyFill="1" applyBorder="1"/>
    <xf numFmtId="0" fontId="7" fillId="0" borderId="19" xfId="0" applyFont="1" applyBorder="1"/>
    <xf numFmtId="0" fontId="7" fillId="0" borderId="22" xfId="0" applyFont="1" applyBorder="1"/>
    <xf numFmtId="0" fontId="13" fillId="0" borderId="19" xfId="0" applyFont="1" applyBorder="1"/>
    <xf numFmtId="0" fontId="12" fillId="8" borderId="19" xfId="0" applyFont="1" applyFill="1" applyBorder="1"/>
    <xf numFmtId="0" fontId="13" fillId="0" borderId="20" xfId="0" applyFont="1" applyBorder="1"/>
    <xf numFmtId="0" fontId="11" fillId="0" borderId="28" xfId="0" applyFont="1" applyBorder="1"/>
    <xf numFmtId="0" fontId="12" fillId="0" borderId="19" xfId="0" applyFont="1" applyBorder="1"/>
    <xf numFmtId="0" fontId="8" fillId="0" borderId="20" xfId="0" applyFont="1" applyBorder="1"/>
    <xf numFmtId="0" fontId="8" fillId="0" borderId="28" xfId="0" applyFont="1" applyBorder="1"/>
    <xf numFmtId="0" fontId="12" fillId="4" borderId="28" xfId="0" applyFont="1" applyFill="1" applyBorder="1"/>
    <xf numFmtId="0" fontId="10" fillId="2" borderId="18" xfId="1" applyFont="1" applyBorder="1"/>
    <xf numFmtId="0" fontId="8" fillId="8" borderId="19" xfId="1" applyFont="1" applyFill="1" applyBorder="1"/>
    <xf numFmtId="0" fontId="8" fillId="8" borderId="28" xfId="1" applyFont="1" applyFill="1" applyBorder="1"/>
    <xf numFmtId="0" fontId="8" fillId="4" borderId="19" xfId="0" applyFont="1" applyFill="1" applyBorder="1"/>
    <xf numFmtId="0" fontId="8" fillId="4" borderId="22" xfId="0" applyFont="1" applyFill="1" applyBorder="1"/>
    <xf numFmtId="0" fontId="12" fillId="0" borderId="20" xfId="0" applyFont="1" applyBorder="1"/>
    <xf numFmtId="0" fontId="12" fillId="0" borderId="28" xfId="0" applyFont="1" applyBorder="1"/>
    <xf numFmtId="0" fontId="8" fillId="4" borderId="28" xfId="0" applyFont="1" applyFill="1" applyBorder="1"/>
    <xf numFmtId="0" fontId="12" fillId="8" borderId="19" xfId="1" applyFont="1" applyFill="1" applyBorder="1"/>
    <xf numFmtId="0" fontId="11" fillId="8" borderId="28" xfId="1" applyFont="1" applyFill="1" applyBorder="1"/>
    <xf numFmtId="0" fontId="7" fillId="0" borderId="21" xfId="0" applyFont="1" applyBorder="1" applyAlignment="1">
      <alignment horizontal="left"/>
    </xf>
    <xf numFmtId="0" fontId="8" fillId="8" borderId="29" xfId="1" applyFont="1" applyFill="1" applyBorder="1"/>
    <xf numFmtId="0" fontId="8" fillId="8" borderId="26" xfId="1" applyFont="1" applyFill="1" applyBorder="1"/>
    <xf numFmtId="0" fontId="12" fillId="8" borderId="25" xfId="1" applyFont="1" applyFill="1" applyBorder="1"/>
    <xf numFmtId="0" fontId="7" fillId="0" borderId="18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2" fillId="8" borderId="28" xfId="1" applyFont="1" applyFill="1" applyBorder="1"/>
    <xf numFmtId="0" fontId="13" fillId="4" borderId="19" xfId="0" applyFont="1" applyFill="1" applyBorder="1"/>
    <xf numFmtId="0" fontId="13" fillId="4" borderId="28" xfId="0" applyFont="1" applyFill="1" applyBorder="1"/>
    <xf numFmtId="0" fontId="12" fillId="8" borderId="29" xfId="1" applyFont="1" applyFill="1" applyBorder="1"/>
    <xf numFmtId="0" fontId="12" fillId="8" borderId="26" xfId="1" applyFont="1" applyFill="1" applyBorder="1"/>
    <xf numFmtId="0" fontId="8" fillId="8" borderId="25" xfId="1" applyFont="1" applyFill="1" applyBorder="1"/>
    <xf numFmtId="0" fontId="12" fillId="0" borderId="1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0" fillId="0" borderId="0" xfId="1" applyFont="1" applyFill="1" applyBorder="1"/>
    <xf numFmtId="0" fontId="12" fillId="0" borderId="0" xfId="1" applyFont="1" applyFill="1" applyBorder="1"/>
    <xf numFmtId="0" fontId="7" fillId="0" borderId="0" xfId="0" applyFont="1"/>
    <xf numFmtId="0" fontId="14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/>
    </xf>
    <xf numFmtId="0" fontId="2" fillId="6" borderId="30" xfId="1" applyFont="1" applyFill="1" applyBorder="1" applyAlignment="1">
      <alignment horizontal="center" vertical="center"/>
    </xf>
    <xf numFmtId="0" fontId="3" fillId="6" borderId="19" xfId="1" applyFont="1" applyFill="1" applyBorder="1"/>
    <xf numFmtId="0" fontId="2" fillId="6" borderId="28" xfId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/>
    </xf>
    <xf numFmtId="0" fontId="9" fillId="0" borderId="0" xfId="0" applyFont="1"/>
    <xf numFmtId="0" fontId="13" fillId="0" borderId="28" xfId="0" applyFont="1" applyBorder="1"/>
    <xf numFmtId="0" fontId="11" fillId="8" borderId="20" xfId="1" applyFont="1" applyFill="1" applyBorder="1"/>
    <xf numFmtId="0" fontId="17" fillId="0" borderId="0" xfId="0" applyFont="1"/>
    <xf numFmtId="0" fontId="18" fillId="0" borderId="0" xfId="0" applyFont="1"/>
    <xf numFmtId="0" fontId="2" fillId="4" borderId="8" xfId="1" applyFont="1" applyFill="1" applyBorder="1" applyAlignment="1">
      <alignment horizontal="center" vertical="center"/>
    </xf>
    <xf numFmtId="0" fontId="3" fillId="4" borderId="18" xfId="1" applyFont="1" applyFill="1" applyBorder="1"/>
    <xf numFmtId="0" fontId="11" fillId="4" borderId="25" xfId="1" applyFont="1" applyFill="1" applyBorder="1"/>
    <xf numFmtId="0" fontId="8" fillId="4" borderId="28" xfId="1" applyFont="1" applyFill="1" applyBorder="1"/>
    <xf numFmtId="0" fontId="12" fillId="4" borderId="25" xfId="1" applyFont="1" applyFill="1" applyBorder="1"/>
    <xf numFmtId="0" fontId="12" fillId="4" borderId="28" xfId="1" applyFont="1" applyFill="1" applyBorder="1"/>
    <xf numFmtId="0" fontId="8" fillId="4" borderId="25" xfId="1" applyFont="1" applyFill="1" applyBorder="1"/>
    <xf numFmtId="0" fontId="2" fillId="4" borderId="30" xfId="1" applyFont="1" applyFill="1" applyBorder="1" applyAlignment="1">
      <alignment horizontal="center" vertical="center"/>
    </xf>
    <xf numFmtId="0" fontId="2" fillId="4" borderId="28" xfId="1" applyFont="1" applyFill="1" applyBorder="1" applyAlignment="1">
      <alignment horizontal="center" vertical="center"/>
    </xf>
    <xf numFmtId="0" fontId="12" fillId="4" borderId="29" xfId="1" applyFont="1" applyFill="1" applyBorder="1"/>
    <xf numFmtId="0" fontId="8" fillId="0" borderId="19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0" fillId="5" borderId="19" xfId="1" applyFont="1" applyFill="1" applyBorder="1" applyAlignment="1"/>
    <xf numFmtId="0" fontId="7" fillId="0" borderId="32" xfId="0" applyFont="1" applyBorder="1" applyAlignment="1">
      <alignment horizontal="left"/>
    </xf>
    <xf numFmtId="0" fontId="19" fillId="0" borderId="0" xfId="0" applyFont="1"/>
    <xf numFmtId="0" fontId="5" fillId="3" borderId="25" xfId="0" applyFont="1" applyFill="1" applyBorder="1" applyAlignment="1">
      <alignment horizontal="center" wrapText="1"/>
    </xf>
    <xf numFmtId="0" fontId="5" fillId="3" borderId="26" xfId="0" applyFont="1" applyFill="1" applyBorder="1" applyAlignment="1">
      <alignment horizontal="center" wrapText="1"/>
    </xf>
    <xf numFmtId="0" fontId="6" fillId="0" borderId="27" xfId="0" applyFont="1" applyBorder="1" applyAlignment="1">
      <alignment horizontal="center" vertical="center" wrapText="1"/>
    </xf>
    <xf numFmtId="0" fontId="2" fillId="4" borderId="21" xfId="0" applyFont="1" applyFill="1" applyBorder="1"/>
    <xf numFmtId="0" fontId="2" fillId="3" borderId="28" xfId="0" applyFont="1" applyFill="1" applyBorder="1"/>
    <xf numFmtId="0" fontId="2" fillId="4" borderId="28" xfId="0" applyFont="1" applyFill="1" applyBorder="1"/>
    <xf numFmtId="0" fontId="2" fillId="4" borderId="34" xfId="0" applyFont="1" applyFill="1" applyBorder="1"/>
    <xf numFmtId="0" fontId="3" fillId="6" borderId="34" xfId="1" applyFont="1" applyFill="1" applyBorder="1"/>
    <xf numFmtId="0" fontId="3" fillId="4" borderId="34" xfId="1" applyFont="1" applyFill="1" applyBorder="1"/>
    <xf numFmtId="0" fontId="3" fillId="7" borderId="33" xfId="1" applyFont="1" applyFill="1" applyBorder="1" applyAlignment="1">
      <alignment horizontal="center"/>
    </xf>
    <xf numFmtId="0" fontId="3" fillId="7" borderId="0" xfId="1" applyFont="1" applyFill="1" applyBorder="1" applyAlignment="1">
      <alignment horizontal="center"/>
    </xf>
    <xf numFmtId="0" fontId="7" fillId="8" borderId="34" xfId="0" applyFont="1" applyFill="1" applyBorder="1"/>
    <xf numFmtId="0" fontId="0" fillId="8" borderId="0" xfId="0" applyFill="1"/>
    <xf numFmtId="0" fontId="3" fillId="10" borderId="18" xfId="1" applyFont="1" applyFill="1" applyBorder="1"/>
    <xf numFmtId="0" fontId="6" fillId="8" borderId="34" xfId="0" applyFont="1" applyFill="1" applyBorder="1"/>
    <xf numFmtId="0" fontId="8" fillId="8" borderId="19" xfId="0" applyFont="1" applyFill="1" applyBorder="1"/>
    <xf numFmtId="0" fontId="10" fillId="5" borderId="20" xfId="1" applyFont="1" applyFill="1" applyBorder="1" applyAlignment="1">
      <alignment horizontal="center"/>
    </xf>
    <xf numFmtId="0" fontId="10" fillId="5" borderId="19" xfId="1" applyFont="1" applyFill="1" applyBorder="1" applyAlignment="1">
      <alignment horizontal="center"/>
    </xf>
    <xf numFmtId="0" fontId="10" fillId="10" borderId="23" xfId="1" applyFont="1" applyFill="1" applyBorder="1"/>
    <xf numFmtId="0" fontId="10" fillId="5" borderId="22" xfId="1" applyFont="1" applyFill="1" applyBorder="1" applyAlignment="1">
      <alignment horizontal="right"/>
    </xf>
    <xf numFmtId="0" fontId="12" fillId="4" borderId="21" xfId="0" applyFont="1" applyFill="1" applyBorder="1"/>
    <xf numFmtId="0" fontId="10" fillId="10" borderId="18" xfId="1" applyFont="1" applyFill="1" applyBorder="1"/>
    <xf numFmtId="0" fontId="20" fillId="8" borderId="28" xfId="0" applyFont="1" applyFill="1" applyBorder="1"/>
    <xf numFmtId="0" fontId="15" fillId="8" borderId="28" xfId="0" applyFont="1" applyFill="1" applyBorder="1"/>
    <xf numFmtId="0" fontId="20" fillId="8" borderId="19" xfId="0" applyFont="1" applyFill="1" applyBorder="1"/>
    <xf numFmtId="0" fontId="21" fillId="8" borderId="34" xfId="1" applyFont="1" applyFill="1" applyBorder="1"/>
    <xf numFmtId="0" fontId="3" fillId="7" borderId="33" xfId="1" applyFont="1" applyFill="1" applyBorder="1" applyAlignment="1">
      <alignment horizontal="right"/>
    </xf>
    <xf numFmtId="0" fontId="3" fillId="7" borderId="0" xfId="1" applyFont="1" applyFill="1" applyBorder="1" applyAlignment="1">
      <alignment horizontal="right"/>
    </xf>
    <xf numFmtId="0" fontId="7" fillId="8" borderId="26" xfId="0" applyFont="1" applyFill="1" applyBorder="1" applyAlignment="1">
      <alignment wrapText="1"/>
    </xf>
    <xf numFmtId="0" fontId="12" fillId="4" borderId="34" xfId="1" applyFont="1" applyFill="1" applyBorder="1"/>
    <xf numFmtId="0" fontId="3" fillId="5" borderId="21" xfId="1" applyFont="1" applyFill="1" applyBorder="1" applyAlignment="1">
      <alignment horizontal="right"/>
    </xf>
    <xf numFmtId="0" fontId="3" fillId="5" borderId="19" xfId="1" applyFont="1" applyFill="1" applyBorder="1" applyAlignment="1">
      <alignment horizontal="right"/>
    </xf>
    <xf numFmtId="0" fontId="10" fillId="5" borderId="19" xfId="1" applyFont="1" applyFill="1" applyBorder="1" applyAlignment="1">
      <alignment horizontal="right"/>
    </xf>
    <xf numFmtId="0" fontId="10" fillId="5" borderId="21" xfId="1" applyFont="1" applyFill="1" applyBorder="1" applyAlignment="1">
      <alignment horizontal="right"/>
    </xf>
    <xf numFmtId="0" fontId="8" fillId="4" borderId="29" xfId="1" applyFont="1" applyFill="1" applyBorder="1"/>
    <xf numFmtId="0" fontId="15" fillId="8" borderId="19" xfId="0" applyFont="1" applyFill="1" applyBorder="1"/>
    <xf numFmtId="0" fontId="3" fillId="5" borderId="20" xfId="1" applyFont="1" applyFill="1" applyBorder="1" applyAlignment="1">
      <alignment horizontal="right"/>
    </xf>
    <xf numFmtId="0" fontId="10" fillId="5" borderId="20" xfId="1" applyFont="1" applyFill="1" applyBorder="1" applyAlignment="1">
      <alignment horizontal="right"/>
    </xf>
    <xf numFmtId="0" fontId="3" fillId="5" borderId="22" xfId="1" applyFont="1" applyFill="1" applyBorder="1" applyAlignment="1">
      <alignment horizontal="right"/>
    </xf>
    <xf numFmtId="0" fontId="3" fillId="10" borderId="23" xfId="1" applyFont="1" applyFill="1" applyBorder="1" applyAlignment="1">
      <alignment horizontal="right"/>
    </xf>
    <xf numFmtId="0" fontId="7" fillId="9" borderId="25" xfId="0" applyFont="1" applyFill="1" applyBorder="1" applyAlignment="1">
      <alignment horizontal="right" wrapText="1"/>
    </xf>
    <xf numFmtId="0" fontId="7" fillId="8" borderId="27" xfId="0" applyFont="1" applyFill="1" applyBorder="1" applyAlignment="1">
      <alignment horizontal="right" vertical="center" wrapText="1"/>
    </xf>
    <xf numFmtId="0" fontId="12" fillId="8" borderId="28" xfId="0" applyFont="1" applyFill="1" applyBorder="1"/>
    <xf numFmtId="0" fontId="12" fillId="4" borderId="34" xfId="0" applyFont="1" applyFill="1" applyBorder="1"/>
    <xf numFmtId="0" fontId="8" fillId="8" borderId="28" xfId="0" applyFont="1" applyFill="1" applyBorder="1"/>
    <xf numFmtId="0" fontId="12" fillId="8" borderId="20" xfId="0" applyFont="1" applyFill="1" applyBorder="1"/>
    <xf numFmtId="0" fontId="12" fillId="8" borderId="34" xfId="1" applyFont="1" applyFill="1" applyBorder="1"/>
    <xf numFmtId="0" fontId="12" fillId="4" borderId="19" xfId="0" applyFont="1" applyFill="1" applyBorder="1" applyAlignment="1">
      <alignment horizontal="left"/>
    </xf>
    <xf numFmtId="0" fontId="8" fillId="4" borderId="19" xfId="0" applyFont="1" applyFill="1" applyBorder="1" applyAlignment="1">
      <alignment horizontal="left"/>
    </xf>
    <xf numFmtId="0" fontId="12" fillId="4" borderId="28" xfId="0" applyFont="1" applyFill="1" applyBorder="1" applyAlignment="1">
      <alignment horizontal="left"/>
    </xf>
    <xf numFmtId="0" fontId="2" fillId="2" borderId="3" xfId="1" applyFont="1" applyBorder="1" applyAlignment="1">
      <alignment horizontal="center" vertical="center"/>
    </xf>
    <xf numFmtId="0" fontId="10" fillId="8" borderId="32" xfId="1" applyFont="1" applyFill="1" applyBorder="1"/>
    <xf numFmtId="0" fontId="10" fillId="8" borderId="0" xfId="1" applyFont="1" applyFill="1" applyBorder="1"/>
    <xf numFmtId="0" fontId="6" fillId="8" borderId="0" xfId="0" applyFont="1" applyFill="1"/>
    <xf numFmtId="0" fontId="20" fillId="8" borderId="32" xfId="1" applyFont="1" applyFill="1" applyBorder="1"/>
    <xf numFmtId="0" fontId="0" fillId="0" borderId="0" xfId="0" applyAlignment="1">
      <alignment horizontal="left"/>
    </xf>
    <xf numFmtId="0" fontId="2" fillId="4" borderId="13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6" borderId="14" xfId="1" applyFont="1" applyFill="1" applyBorder="1" applyAlignment="1">
      <alignment horizontal="left" vertical="center"/>
    </xf>
    <xf numFmtId="0" fontId="3" fillId="4" borderId="20" xfId="1" applyFont="1" applyFill="1" applyBorder="1"/>
    <xf numFmtId="0" fontId="3" fillId="4" borderId="35" xfId="1" applyFont="1" applyFill="1" applyBorder="1"/>
    <xf numFmtId="0" fontId="3" fillId="6" borderId="23" xfId="1" applyFont="1" applyFill="1" applyBorder="1" applyAlignment="1">
      <alignment horizontal="left"/>
    </xf>
    <xf numFmtId="0" fontId="13" fillId="8" borderId="20" xfId="1" applyFont="1" applyFill="1" applyBorder="1"/>
    <xf numFmtId="0" fontId="13" fillId="8" borderId="19" xfId="1" applyFont="1" applyFill="1" applyBorder="1"/>
    <xf numFmtId="0" fontId="12" fillId="4" borderId="30" xfId="1" applyFont="1" applyFill="1" applyBorder="1"/>
    <xf numFmtId="0" fontId="11" fillId="8" borderId="26" xfId="1" applyFont="1" applyFill="1" applyBorder="1"/>
    <xf numFmtId="0" fontId="11" fillId="8" borderId="29" xfId="1" applyFont="1" applyFill="1" applyBorder="1" applyAlignment="1">
      <alignment horizontal="left"/>
    </xf>
    <xf numFmtId="0" fontId="13" fillId="8" borderId="29" xfId="1" applyFont="1" applyFill="1" applyBorder="1"/>
    <xf numFmtId="0" fontId="12" fillId="0" borderId="25" xfId="1" applyFont="1" applyFill="1" applyBorder="1"/>
    <xf numFmtId="0" fontId="13" fillId="4" borderId="25" xfId="1" applyFont="1" applyFill="1" applyBorder="1"/>
    <xf numFmtId="0" fontId="12" fillId="8" borderId="29" xfId="1" applyFont="1" applyFill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13" fillId="8" borderId="25" xfId="1" applyFont="1" applyFill="1" applyBorder="1"/>
    <xf numFmtId="0" fontId="13" fillId="8" borderId="26" xfId="1" applyFont="1" applyFill="1" applyBorder="1"/>
    <xf numFmtId="0" fontId="7" fillId="0" borderId="20" xfId="0" applyFont="1" applyBorder="1" applyAlignment="1">
      <alignment horizontal="left"/>
    </xf>
    <xf numFmtId="0" fontId="11" fillId="4" borderId="26" xfId="1" applyFont="1" applyFill="1" applyBorder="1"/>
    <xf numFmtId="0" fontId="12" fillId="4" borderId="26" xfId="1" applyFont="1" applyFill="1" applyBorder="1"/>
    <xf numFmtId="0" fontId="11" fillId="0" borderId="0" xfId="1" applyFont="1" applyFill="1" applyBorder="1"/>
    <xf numFmtId="0" fontId="12" fillId="0" borderId="0" xfId="1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2" fillId="6" borderId="23" xfId="1" applyFont="1" applyFill="1" applyBorder="1" applyAlignment="1">
      <alignment horizontal="center" vertical="center"/>
    </xf>
    <xf numFmtId="0" fontId="2" fillId="4" borderId="23" xfId="1" applyFont="1" applyFill="1" applyBorder="1" applyAlignment="1">
      <alignment horizontal="center" vertical="center"/>
    </xf>
    <xf numFmtId="0" fontId="2" fillId="6" borderId="23" xfId="1" applyFont="1" applyFill="1" applyBorder="1" applyAlignment="1">
      <alignment horizontal="left" vertical="center"/>
    </xf>
    <xf numFmtId="0" fontId="12" fillId="8" borderId="20" xfId="1" applyFont="1" applyFill="1" applyBorder="1" applyAlignment="1">
      <alignment horizontal="left"/>
    </xf>
    <xf numFmtId="0" fontId="12" fillId="8" borderId="20" xfId="1" applyFont="1" applyFill="1" applyBorder="1"/>
    <xf numFmtId="0" fontId="12" fillId="4" borderId="19" xfId="1" applyFont="1" applyFill="1" applyBorder="1"/>
    <xf numFmtId="0" fontId="9" fillId="0" borderId="0" xfId="0" applyFont="1" applyAlignment="1">
      <alignment horizontal="left"/>
    </xf>
    <xf numFmtId="0" fontId="10" fillId="7" borderId="25" xfId="1" applyFont="1" applyFill="1" applyBorder="1"/>
    <xf numFmtId="0" fontId="11" fillId="8" borderId="19" xfId="1" applyFont="1" applyFill="1" applyBorder="1"/>
    <xf numFmtId="0" fontId="11" fillId="8" borderId="20" xfId="1" applyFont="1" applyFill="1" applyBorder="1" applyAlignment="1">
      <alignment horizontal="left"/>
    </xf>
    <xf numFmtId="0" fontId="8" fillId="8" borderId="20" xfId="1" applyFont="1" applyFill="1" applyBorder="1"/>
    <xf numFmtId="0" fontId="8" fillId="4" borderId="19" xfId="1" applyFont="1" applyFill="1" applyBorder="1"/>
    <xf numFmtId="0" fontId="20" fillId="8" borderId="18" xfId="1" applyFont="1" applyFill="1" applyBorder="1"/>
    <xf numFmtId="0" fontId="6" fillId="2" borderId="18" xfId="1" applyFont="1" applyBorder="1"/>
    <xf numFmtId="0" fontId="8" fillId="0" borderId="20" xfId="0" applyFont="1" applyBorder="1" applyAlignment="1">
      <alignment horizontal="left"/>
    </xf>
    <xf numFmtId="0" fontId="8" fillId="8" borderId="20" xfId="1" applyFont="1" applyFill="1" applyBorder="1" applyAlignment="1">
      <alignment horizontal="left"/>
    </xf>
    <xf numFmtId="0" fontId="15" fillId="8" borderId="18" xfId="1" applyFont="1" applyFill="1" applyBorder="1"/>
    <xf numFmtId="0" fontId="15" fillId="8" borderId="32" xfId="1" applyFont="1" applyFill="1" applyBorder="1"/>
    <xf numFmtId="0" fontId="8" fillId="4" borderId="30" xfId="1" applyFont="1" applyFill="1" applyBorder="1"/>
    <xf numFmtId="0" fontId="12" fillId="0" borderId="26" xfId="1" applyFont="1" applyFill="1" applyBorder="1"/>
    <xf numFmtId="0" fontId="8" fillId="4" borderId="26" xfId="1" applyFont="1" applyFill="1" applyBorder="1"/>
    <xf numFmtId="0" fontId="8" fillId="8" borderId="32" xfId="1" applyFont="1" applyFill="1" applyBorder="1"/>
    <xf numFmtId="0" fontId="3" fillId="7" borderId="15" xfId="1" applyFont="1" applyFill="1" applyBorder="1" applyAlignment="1">
      <alignment horizontal="center" vertical="center"/>
    </xf>
    <xf numFmtId="0" fontId="3" fillId="7" borderId="16" xfId="1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wrapText="1"/>
    </xf>
    <xf numFmtId="0" fontId="5" fillId="3" borderId="25" xfId="0" applyFont="1" applyFill="1" applyBorder="1" applyAlignment="1">
      <alignment horizontal="center" wrapText="1"/>
    </xf>
    <xf numFmtId="0" fontId="3" fillId="5" borderId="8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5" fillId="3" borderId="19" xfId="0" applyFont="1" applyFill="1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wrapText="1"/>
    </xf>
    <xf numFmtId="0" fontId="5" fillId="3" borderId="26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37E3-E8FB-4A7F-8C52-77A61C09902E}">
  <dimension ref="A1:CJ39"/>
  <sheetViews>
    <sheetView topLeftCell="AR1" workbookViewId="0">
      <selection activeCell="D4" sqref="D4"/>
    </sheetView>
  </sheetViews>
  <sheetFormatPr defaultRowHeight="15" x14ac:dyDescent="0.25"/>
  <cols>
    <col min="1" max="1" width="20.140625" customWidth="1"/>
    <col min="2" max="2" width="4.5703125" customWidth="1"/>
    <col min="3" max="3" width="4" customWidth="1"/>
    <col min="4" max="4" width="3.7109375" customWidth="1"/>
    <col min="5" max="5" width="3.85546875" customWidth="1"/>
    <col min="6" max="6" width="3.5703125" customWidth="1"/>
    <col min="7" max="7" width="3.42578125" customWidth="1"/>
    <col min="8" max="8" width="3.28515625" customWidth="1"/>
    <col min="9" max="9" width="2.28515625" customWidth="1"/>
    <col min="10" max="11" width="3.140625" customWidth="1"/>
    <col min="12" max="12" width="3.5703125" customWidth="1"/>
    <col min="13" max="13" width="3.7109375" customWidth="1"/>
    <col min="14" max="14" width="5" customWidth="1"/>
    <col min="15" max="15" width="4.42578125" customWidth="1"/>
    <col min="16" max="17" width="4.140625" customWidth="1"/>
    <col min="18" max="18" width="4" customWidth="1"/>
    <col min="19" max="19" width="3.7109375" customWidth="1"/>
    <col min="20" max="20" width="4" customWidth="1"/>
    <col min="21" max="21" width="3.7109375" customWidth="1"/>
    <col min="22" max="23" width="2.85546875" customWidth="1"/>
    <col min="24" max="24" width="2.28515625" customWidth="1"/>
    <col min="25" max="25" width="2.5703125" customWidth="1"/>
    <col min="26" max="27" width="3.42578125" customWidth="1"/>
    <col min="28" max="28" width="3.140625" customWidth="1"/>
    <col min="29" max="29" width="3" customWidth="1"/>
    <col min="30" max="30" width="4.7109375" customWidth="1"/>
    <col min="31" max="31" width="4.140625" customWidth="1"/>
    <col min="32" max="32" width="4.42578125" customWidth="1"/>
    <col min="33" max="33" width="4" customWidth="1"/>
    <col min="34" max="34" width="4.42578125" customWidth="1"/>
    <col min="35" max="35" width="4.7109375" customWidth="1"/>
    <col min="36" max="36" width="4.140625" customWidth="1"/>
    <col min="37" max="37" width="3.85546875" customWidth="1"/>
    <col min="38" max="38" width="4.140625" customWidth="1"/>
    <col min="39" max="39" width="4" customWidth="1"/>
    <col min="40" max="42" width="3.7109375" customWidth="1"/>
    <col min="43" max="43" width="4.28515625" customWidth="1"/>
    <col min="44" max="44" width="3.5703125" customWidth="1"/>
    <col min="45" max="45" width="4" customWidth="1"/>
    <col min="46" max="46" width="4.5703125" customWidth="1"/>
    <col min="47" max="47" width="4.140625" customWidth="1"/>
    <col min="48" max="50" width="4.28515625" customWidth="1"/>
    <col min="51" max="51" width="4.7109375" customWidth="1"/>
    <col min="52" max="52" width="5" customWidth="1"/>
    <col min="53" max="53" width="4.140625" customWidth="1"/>
    <col min="54" max="54" width="4" customWidth="1"/>
    <col min="55" max="55" width="3.7109375" customWidth="1"/>
    <col min="56" max="56" width="3.28515625" customWidth="1"/>
    <col min="57" max="57" width="3.85546875" customWidth="1"/>
    <col min="58" max="59" width="3.7109375" customWidth="1"/>
    <col min="60" max="60" width="4.28515625" customWidth="1"/>
    <col min="61" max="61" width="4" customWidth="1"/>
    <col min="62" max="62" width="5.28515625" customWidth="1"/>
    <col min="63" max="63" width="4.5703125" customWidth="1"/>
    <col min="64" max="68" width="5.140625" customWidth="1"/>
    <col min="69" max="69" width="4.7109375" customWidth="1"/>
    <col min="70" max="70" width="4.140625" customWidth="1"/>
    <col min="71" max="71" width="4" customWidth="1"/>
    <col min="72" max="72" width="3.7109375" customWidth="1"/>
    <col min="73" max="73" width="4" customWidth="1"/>
    <col min="74" max="74" width="4.140625" customWidth="1"/>
    <col min="75" max="76" width="4.28515625" customWidth="1"/>
    <col min="77" max="77" width="5.5703125" customWidth="1"/>
    <col min="78" max="78" width="4.28515625" customWidth="1"/>
    <col min="79" max="79" width="3.7109375" customWidth="1"/>
    <col min="80" max="80" width="4.140625" customWidth="1"/>
    <col min="81" max="81" width="3.7109375" customWidth="1"/>
    <col min="82" max="82" width="4" customWidth="1"/>
    <col min="83" max="83" width="3.85546875" customWidth="1"/>
    <col min="84" max="84" width="4.5703125" customWidth="1"/>
    <col min="85" max="85" width="4.140625" customWidth="1"/>
    <col min="86" max="87" width="6.7109375" customWidth="1"/>
    <col min="88" max="88" width="6.28515625" customWidth="1"/>
  </cols>
  <sheetData>
    <row r="1" spans="1:88" ht="15.75" thickBot="1" x14ac:dyDescent="0.3">
      <c r="B1" s="1"/>
    </row>
    <row r="2" spans="1:88" ht="15.75" thickBot="1" x14ac:dyDescent="0.3">
      <c r="A2" s="2" t="s">
        <v>0</v>
      </c>
      <c r="B2" s="3" t="s">
        <v>4</v>
      </c>
      <c r="C2" s="4" t="s">
        <v>5</v>
      </c>
      <c r="D2" s="5" t="s">
        <v>6</v>
      </c>
      <c r="E2" s="6" t="s">
        <v>7</v>
      </c>
      <c r="F2" s="226" t="s">
        <v>8</v>
      </c>
      <c r="G2" s="227"/>
      <c r="H2" s="227"/>
      <c r="I2" s="227"/>
      <c r="J2" s="227"/>
      <c r="K2" s="227"/>
      <c r="L2" s="227"/>
      <c r="M2" s="228"/>
      <c r="N2" s="7" t="s">
        <v>9</v>
      </c>
      <c r="O2" s="4" t="s">
        <v>1</v>
      </c>
      <c r="P2" s="4" t="s">
        <v>2</v>
      </c>
      <c r="Q2" s="4" t="s">
        <v>3</v>
      </c>
      <c r="R2" s="4" t="s">
        <v>4</v>
      </c>
      <c r="S2" s="4" t="s">
        <v>5</v>
      </c>
      <c r="T2" s="8" t="s">
        <v>6</v>
      </c>
      <c r="U2" s="9" t="s">
        <v>7</v>
      </c>
      <c r="V2" s="226" t="s">
        <v>8</v>
      </c>
      <c r="W2" s="227"/>
      <c r="X2" s="227"/>
      <c r="Y2" s="227"/>
      <c r="Z2" s="227"/>
      <c r="AA2" s="227"/>
      <c r="AB2" s="227"/>
      <c r="AC2" s="228"/>
      <c r="AD2" s="10" t="s">
        <v>9</v>
      </c>
      <c r="AE2" s="11" t="s">
        <v>1</v>
      </c>
      <c r="AF2" s="4" t="s">
        <v>2</v>
      </c>
      <c r="AG2" s="4" t="s">
        <v>3</v>
      </c>
      <c r="AH2" s="4" t="s">
        <v>4</v>
      </c>
      <c r="AI2" s="4" t="s">
        <v>5</v>
      </c>
      <c r="AJ2" s="8" t="s">
        <v>6</v>
      </c>
      <c r="AK2" s="9" t="s">
        <v>7</v>
      </c>
      <c r="AL2" s="226" t="s">
        <v>8</v>
      </c>
      <c r="AM2" s="227"/>
      <c r="AN2" s="227"/>
      <c r="AO2" s="227"/>
      <c r="AP2" s="227"/>
      <c r="AQ2" s="227"/>
      <c r="AR2" s="227"/>
      <c r="AS2" s="228"/>
      <c r="AT2" s="10" t="s">
        <v>9</v>
      </c>
      <c r="AU2" s="11" t="s">
        <v>1</v>
      </c>
      <c r="AV2" s="4" t="s">
        <v>2</v>
      </c>
      <c r="AW2" s="4" t="s">
        <v>3</v>
      </c>
      <c r="AX2" s="4" t="s">
        <v>4</v>
      </c>
      <c r="AY2" s="4" t="s">
        <v>5</v>
      </c>
      <c r="AZ2" s="8" t="s">
        <v>6</v>
      </c>
      <c r="BA2" s="12" t="s">
        <v>7</v>
      </c>
      <c r="BB2" s="226" t="s">
        <v>8</v>
      </c>
      <c r="BC2" s="227"/>
      <c r="BD2" s="227"/>
      <c r="BE2" s="227"/>
      <c r="BF2" s="227"/>
      <c r="BG2" s="227"/>
      <c r="BH2" s="227"/>
      <c r="BI2" s="228"/>
      <c r="BJ2" s="10" t="s">
        <v>9</v>
      </c>
      <c r="BK2" s="13" t="s">
        <v>1</v>
      </c>
      <c r="BL2" s="13" t="s">
        <v>2</v>
      </c>
      <c r="BM2" s="14" t="s">
        <v>3</v>
      </c>
      <c r="BN2" s="14" t="s">
        <v>4</v>
      </c>
      <c r="BO2" s="14" t="s">
        <v>5</v>
      </c>
      <c r="BP2" s="105" t="s">
        <v>6</v>
      </c>
      <c r="BQ2" s="226" t="s">
        <v>8</v>
      </c>
      <c r="BR2" s="227"/>
      <c r="BS2" s="227"/>
      <c r="BT2" s="227"/>
      <c r="BU2" s="227"/>
      <c r="BV2" s="227"/>
      <c r="BW2" s="227"/>
      <c r="BX2" s="228"/>
      <c r="BY2" s="10" t="s">
        <v>9</v>
      </c>
      <c r="BZ2" s="222" t="s">
        <v>8</v>
      </c>
      <c r="CA2" s="223"/>
      <c r="CB2" s="223"/>
      <c r="CC2" s="223"/>
      <c r="CD2" s="223"/>
      <c r="CE2" s="223"/>
      <c r="CF2" s="223"/>
      <c r="CG2" s="223"/>
      <c r="CH2" s="224" t="s">
        <v>10</v>
      </c>
      <c r="CI2" s="233" t="s">
        <v>11</v>
      </c>
      <c r="CJ2" s="235" t="s">
        <v>12</v>
      </c>
    </row>
    <row r="3" spans="1:88" ht="15.75" thickBot="1" x14ac:dyDescent="0.3">
      <c r="A3" s="15"/>
      <c r="B3" s="16">
        <v>1</v>
      </c>
      <c r="C3" s="17">
        <v>2</v>
      </c>
      <c r="D3" s="18">
        <v>3</v>
      </c>
      <c r="E3" s="18">
        <v>4</v>
      </c>
      <c r="F3" s="19" t="s">
        <v>13</v>
      </c>
      <c r="G3" s="20" t="s">
        <v>14</v>
      </c>
      <c r="H3" s="20" t="s">
        <v>15</v>
      </c>
      <c r="I3" s="20" t="s">
        <v>16</v>
      </c>
      <c r="J3" s="20" t="s">
        <v>17</v>
      </c>
      <c r="K3" s="21" t="s">
        <v>18</v>
      </c>
      <c r="L3" s="21" t="s">
        <v>19</v>
      </c>
      <c r="M3" s="22" t="s">
        <v>20</v>
      </c>
      <c r="N3" s="23"/>
      <c r="O3" s="16">
        <v>5</v>
      </c>
      <c r="P3" s="16">
        <v>6</v>
      </c>
      <c r="Q3" s="16">
        <v>7</v>
      </c>
      <c r="R3" s="16">
        <v>8</v>
      </c>
      <c r="S3" s="16">
        <v>9</v>
      </c>
      <c r="T3" s="24">
        <v>10</v>
      </c>
      <c r="U3" s="24">
        <v>11</v>
      </c>
      <c r="V3" s="19" t="s">
        <v>13</v>
      </c>
      <c r="W3" s="20" t="s">
        <v>14</v>
      </c>
      <c r="X3" s="20" t="s">
        <v>15</v>
      </c>
      <c r="Y3" s="20" t="s">
        <v>16</v>
      </c>
      <c r="Z3" s="20" t="s">
        <v>17</v>
      </c>
      <c r="AA3" s="21" t="s">
        <v>18</v>
      </c>
      <c r="AB3" s="21" t="s">
        <v>19</v>
      </c>
      <c r="AC3" s="22" t="s">
        <v>20</v>
      </c>
      <c r="AD3" s="25"/>
      <c r="AE3" s="17">
        <v>12</v>
      </c>
      <c r="AF3" s="17">
        <v>13</v>
      </c>
      <c r="AG3" s="17">
        <v>14</v>
      </c>
      <c r="AH3" s="17">
        <v>15</v>
      </c>
      <c r="AI3" s="17">
        <v>16</v>
      </c>
      <c r="AJ3" s="18">
        <v>17</v>
      </c>
      <c r="AK3" s="18">
        <v>18</v>
      </c>
      <c r="AL3" s="19" t="s">
        <v>13</v>
      </c>
      <c r="AM3" s="20" t="s">
        <v>14</v>
      </c>
      <c r="AN3" s="20" t="s">
        <v>15</v>
      </c>
      <c r="AO3" s="20" t="s">
        <v>16</v>
      </c>
      <c r="AP3" s="20" t="s">
        <v>17</v>
      </c>
      <c r="AQ3" s="21" t="s">
        <v>18</v>
      </c>
      <c r="AR3" s="21" t="s">
        <v>19</v>
      </c>
      <c r="AS3" s="22" t="s">
        <v>20</v>
      </c>
      <c r="AT3" s="25"/>
      <c r="AU3" s="16">
        <v>19</v>
      </c>
      <c r="AV3" s="17">
        <v>20</v>
      </c>
      <c r="AW3" s="16">
        <v>21</v>
      </c>
      <c r="AX3" s="17">
        <v>22</v>
      </c>
      <c r="AY3" s="16">
        <v>23</v>
      </c>
      <c r="AZ3" s="18">
        <v>24</v>
      </c>
      <c r="BA3" s="18">
        <v>25</v>
      </c>
      <c r="BB3" s="19" t="s">
        <v>13</v>
      </c>
      <c r="BC3" s="20" t="s">
        <v>14</v>
      </c>
      <c r="BD3" s="20" t="s">
        <v>15</v>
      </c>
      <c r="BE3" s="20" t="s">
        <v>16</v>
      </c>
      <c r="BF3" s="20" t="s">
        <v>17</v>
      </c>
      <c r="BG3" s="21" t="s">
        <v>18</v>
      </c>
      <c r="BH3" s="21" t="s">
        <v>19</v>
      </c>
      <c r="BI3" s="22" t="s">
        <v>20</v>
      </c>
      <c r="BJ3" s="25"/>
      <c r="BK3" s="26">
        <v>26</v>
      </c>
      <c r="BL3" s="26">
        <v>27</v>
      </c>
      <c r="BM3" s="27">
        <v>28</v>
      </c>
      <c r="BN3" s="27">
        <v>29</v>
      </c>
      <c r="BO3" s="27">
        <v>30</v>
      </c>
      <c r="BP3" s="106">
        <v>31</v>
      </c>
      <c r="BQ3" s="19" t="s">
        <v>13</v>
      </c>
      <c r="BR3" s="20" t="s">
        <v>14</v>
      </c>
      <c r="BS3" s="20" t="s">
        <v>15</v>
      </c>
      <c r="BT3" s="20" t="s">
        <v>16</v>
      </c>
      <c r="BU3" s="20" t="s">
        <v>17</v>
      </c>
      <c r="BV3" s="21" t="s">
        <v>18</v>
      </c>
      <c r="BW3" s="21" t="s">
        <v>19</v>
      </c>
      <c r="BX3" s="22" t="s">
        <v>20</v>
      </c>
      <c r="BY3" s="25"/>
      <c r="BZ3" s="28" t="s">
        <v>13</v>
      </c>
      <c r="CA3" s="29" t="s">
        <v>14</v>
      </c>
      <c r="CB3" s="29" t="s">
        <v>15</v>
      </c>
      <c r="CC3" s="29" t="s">
        <v>16</v>
      </c>
      <c r="CD3" s="29" t="s">
        <v>17</v>
      </c>
      <c r="CE3" s="30" t="s">
        <v>18</v>
      </c>
      <c r="CF3" s="29" t="s">
        <v>19</v>
      </c>
      <c r="CG3" s="29" t="s">
        <v>20</v>
      </c>
      <c r="CH3" s="225"/>
      <c r="CI3" s="234"/>
      <c r="CJ3" s="236"/>
    </row>
    <row r="4" spans="1:88" x14ac:dyDescent="0.25">
      <c r="A4" s="31"/>
      <c r="B4" s="32"/>
      <c r="C4" s="33"/>
      <c r="D4" s="34"/>
      <c r="E4" s="35"/>
      <c r="F4" s="36"/>
      <c r="G4" s="37"/>
      <c r="H4" s="37"/>
      <c r="I4" s="37"/>
      <c r="J4" s="37"/>
      <c r="K4" s="38"/>
      <c r="L4" s="38"/>
      <c r="M4" s="39"/>
      <c r="N4" s="40"/>
      <c r="O4" s="33"/>
      <c r="P4" s="33"/>
      <c r="Q4" s="33"/>
      <c r="R4" s="33"/>
      <c r="S4" s="33"/>
      <c r="T4" s="34"/>
      <c r="U4" s="35"/>
      <c r="V4" s="36"/>
      <c r="W4" s="37"/>
      <c r="X4" s="37"/>
      <c r="Y4" s="37"/>
      <c r="Z4" s="37"/>
      <c r="AA4" s="38"/>
      <c r="AB4" s="38"/>
      <c r="AC4" s="39"/>
      <c r="AD4" s="40"/>
      <c r="AE4" s="41"/>
      <c r="AF4" s="42"/>
      <c r="AG4" s="42"/>
      <c r="AH4" s="42"/>
      <c r="AI4" s="42"/>
      <c r="AJ4" s="43"/>
      <c r="AK4" s="44"/>
      <c r="AL4" s="36"/>
      <c r="AM4" s="37"/>
      <c r="AN4" s="37"/>
      <c r="AO4" s="37"/>
      <c r="AP4" s="37"/>
      <c r="AQ4" s="38"/>
      <c r="AR4" s="38"/>
      <c r="AS4" s="39"/>
      <c r="AT4" s="40"/>
      <c r="AU4" s="41"/>
      <c r="AV4" s="42"/>
      <c r="AW4" s="42"/>
      <c r="AX4" s="42"/>
      <c r="AY4" s="42"/>
      <c r="AZ4" s="45"/>
      <c r="BA4" s="46"/>
      <c r="BB4" s="36"/>
      <c r="BC4" s="37"/>
      <c r="BD4" s="37"/>
      <c r="BE4" s="37"/>
      <c r="BF4" s="37"/>
      <c r="BG4" s="38"/>
      <c r="BH4" s="38"/>
      <c r="BI4" s="39"/>
      <c r="BJ4" s="40"/>
      <c r="BK4" s="47"/>
      <c r="BL4" s="48"/>
      <c r="BM4" s="48"/>
      <c r="BN4" s="48"/>
      <c r="BO4" s="48"/>
      <c r="BP4" s="107"/>
      <c r="BQ4" s="36"/>
      <c r="BR4" s="37"/>
      <c r="BS4" s="37"/>
      <c r="BT4" s="37"/>
      <c r="BU4" s="37"/>
      <c r="BV4" s="38"/>
      <c r="BW4" s="38"/>
      <c r="BX4" s="39"/>
      <c r="BY4" s="40"/>
      <c r="BZ4" s="49"/>
      <c r="CA4" s="49"/>
      <c r="CB4" s="49"/>
      <c r="CC4" s="49"/>
      <c r="CD4" s="49"/>
      <c r="CE4" s="49"/>
      <c r="CF4" s="49"/>
      <c r="CG4" s="49"/>
      <c r="CH4" s="50"/>
      <c r="CI4" s="51"/>
      <c r="CJ4" s="52"/>
    </row>
    <row r="5" spans="1:88" x14ac:dyDescent="0.25">
      <c r="A5" s="31" t="s">
        <v>21</v>
      </c>
      <c r="B5" s="53" t="s">
        <v>15</v>
      </c>
      <c r="C5" s="53" t="s">
        <v>15</v>
      </c>
      <c r="D5" s="43" t="s">
        <v>20</v>
      </c>
      <c r="E5" s="43" t="s">
        <v>20</v>
      </c>
      <c r="F5" s="36">
        <v>0</v>
      </c>
      <c r="G5" s="37">
        <v>0</v>
      </c>
      <c r="H5" s="37">
        <v>2</v>
      </c>
      <c r="I5" s="37">
        <v>0</v>
      </c>
      <c r="J5" s="37">
        <v>0</v>
      </c>
      <c r="K5" s="38">
        <v>0</v>
      </c>
      <c r="L5" s="38">
        <v>0</v>
      </c>
      <c r="M5" s="39">
        <v>2</v>
      </c>
      <c r="N5" s="40">
        <f>(10*F5)+(8*G5)+(9*H5)+(12*I5)+(11*J5)+(12*K5)+(9*L5)</f>
        <v>18</v>
      </c>
      <c r="O5" s="33" t="s">
        <v>15</v>
      </c>
      <c r="P5" s="33" t="s">
        <v>15</v>
      </c>
      <c r="Q5" s="42" t="s">
        <v>15</v>
      </c>
      <c r="R5" s="42" t="s">
        <v>15</v>
      </c>
      <c r="S5" s="33" t="s">
        <v>18</v>
      </c>
      <c r="T5" s="43" t="s">
        <v>20</v>
      </c>
      <c r="U5" s="43" t="s">
        <v>20</v>
      </c>
      <c r="V5" s="36">
        <v>0</v>
      </c>
      <c r="W5" s="37">
        <v>0</v>
      </c>
      <c r="X5" s="37">
        <v>5</v>
      </c>
      <c r="Y5" s="37">
        <v>0</v>
      </c>
      <c r="Z5" s="37">
        <v>0</v>
      </c>
      <c r="AA5" s="38">
        <v>0</v>
      </c>
      <c r="AB5" s="38">
        <v>0</v>
      </c>
      <c r="AC5" s="39">
        <v>2</v>
      </c>
      <c r="AD5" s="40">
        <f>(10*V5)+(8*W5)+(9*X5)+(12*Y5)+(11*Z5)+(12*AA5)+(9*AB5)</f>
        <v>45</v>
      </c>
      <c r="AE5" s="55" t="s">
        <v>15</v>
      </c>
      <c r="AF5" s="56" t="s">
        <v>15</v>
      </c>
      <c r="AG5" s="33" t="s">
        <v>15</v>
      </c>
      <c r="AH5" s="33" t="s">
        <v>15</v>
      </c>
      <c r="AI5" s="57" t="s">
        <v>20</v>
      </c>
      <c r="AJ5" s="43" t="s">
        <v>20</v>
      </c>
      <c r="AK5" s="44" t="s">
        <v>20</v>
      </c>
      <c r="AL5" s="36">
        <v>0</v>
      </c>
      <c r="AM5" s="37">
        <v>0</v>
      </c>
      <c r="AN5" s="37">
        <v>4</v>
      </c>
      <c r="AO5" s="37">
        <v>0</v>
      </c>
      <c r="AP5" s="37">
        <v>0</v>
      </c>
      <c r="AQ5" s="38">
        <v>0</v>
      </c>
      <c r="AR5" s="38">
        <v>0</v>
      </c>
      <c r="AS5" s="39">
        <v>3</v>
      </c>
      <c r="AT5" s="40">
        <f>(10*AL5)+(8*AM5)+(9*AN5)+(12*AO5)+(11*AP5)+(12*AQ5)+(9*AR5)</f>
        <v>36</v>
      </c>
      <c r="AU5" s="58" t="s">
        <v>15</v>
      </c>
      <c r="AV5" s="59" t="s">
        <v>15</v>
      </c>
      <c r="AW5" s="53" t="s">
        <v>18</v>
      </c>
      <c r="AX5" s="42" t="s">
        <v>15</v>
      </c>
      <c r="AY5" s="33" t="s">
        <v>15</v>
      </c>
      <c r="AZ5" s="60" t="s">
        <v>20</v>
      </c>
      <c r="BA5" s="60" t="s">
        <v>20</v>
      </c>
      <c r="BB5" s="36">
        <v>0</v>
      </c>
      <c r="BC5" s="37">
        <v>0</v>
      </c>
      <c r="BD5" s="37">
        <v>5</v>
      </c>
      <c r="BE5" s="37">
        <v>0</v>
      </c>
      <c r="BF5" s="37">
        <v>0</v>
      </c>
      <c r="BG5" s="38">
        <v>0</v>
      </c>
      <c r="BH5" s="38">
        <v>0</v>
      </c>
      <c r="BI5" s="39">
        <v>2</v>
      </c>
      <c r="BJ5" s="61">
        <f>(10*BB5)+(8*BC5)+(9*BD5)+(12*BE5)+(11*BF5)+(12*BG5)+(9*BH5)</f>
        <v>45</v>
      </c>
      <c r="BK5" s="62" t="s">
        <v>15</v>
      </c>
      <c r="BL5" s="62" t="s">
        <v>15</v>
      </c>
      <c r="BM5" s="63" t="s">
        <v>15</v>
      </c>
      <c r="BN5" s="63" t="s">
        <v>15</v>
      </c>
      <c r="BO5" s="77" t="s">
        <v>20</v>
      </c>
      <c r="BP5" s="110" t="s">
        <v>20</v>
      </c>
      <c r="BQ5" s="36">
        <v>0</v>
      </c>
      <c r="BR5" s="37">
        <v>0</v>
      </c>
      <c r="BS5" s="37">
        <v>4</v>
      </c>
      <c r="BT5" s="37">
        <v>0</v>
      </c>
      <c r="BU5" s="37">
        <v>0</v>
      </c>
      <c r="BV5" s="38">
        <v>0</v>
      </c>
      <c r="BW5" s="38">
        <v>0</v>
      </c>
      <c r="BX5" s="39">
        <v>2</v>
      </c>
      <c r="BY5" s="40">
        <f>(10*BQ5)+(8*BR5)+(9*BS5)+(12*BT5)+(11*BU5)+(12*BV5)+(9*BW5)</f>
        <v>36</v>
      </c>
      <c r="BZ5" s="49">
        <f t="shared" ref="BZ5:CG11" si="0">SUM(F5,V5,AL5,BB5,BQ5)</f>
        <v>0</v>
      </c>
      <c r="CA5" s="49">
        <f t="shared" si="0"/>
        <v>0</v>
      </c>
      <c r="CB5" s="49">
        <f t="shared" si="0"/>
        <v>20</v>
      </c>
      <c r="CC5" s="49">
        <f t="shared" si="0"/>
        <v>0</v>
      </c>
      <c r="CD5" s="49">
        <f t="shared" si="0"/>
        <v>0</v>
      </c>
      <c r="CE5" s="49">
        <f t="shared" si="0"/>
        <v>0</v>
      </c>
      <c r="CF5" s="49">
        <f t="shared" si="0"/>
        <v>0</v>
      </c>
      <c r="CG5" s="49">
        <f t="shared" si="0"/>
        <v>11</v>
      </c>
      <c r="CH5" s="50">
        <f t="shared" ref="CH5:CH11" si="1">SUM(CA5:CF5)</f>
        <v>20</v>
      </c>
      <c r="CI5" s="51">
        <v>186</v>
      </c>
      <c r="CJ5" s="52">
        <f t="shared" ref="CJ5:CJ11" si="2">CI5-180</f>
        <v>6</v>
      </c>
    </row>
    <row r="6" spans="1:88" x14ac:dyDescent="0.25">
      <c r="A6" s="32" t="s">
        <v>22</v>
      </c>
      <c r="B6" s="57" t="s">
        <v>20</v>
      </c>
      <c r="C6" s="57" t="s">
        <v>20</v>
      </c>
      <c r="D6" s="64" t="s">
        <v>16</v>
      </c>
      <c r="E6" s="65" t="s">
        <v>16</v>
      </c>
      <c r="F6" s="36">
        <v>0</v>
      </c>
      <c r="G6" s="37">
        <v>0</v>
      </c>
      <c r="H6" s="37">
        <v>0</v>
      </c>
      <c r="I6" s="37">
        <v>2</v>
      </c>
      <c r="J6" s="37">
        <v>0</v>
      </c>
      <c r="K6" s="38">
        <v>0</v>
      </c>
      <c r="L6" s="38">
        <v>0</v>
      </c>
      <c r="M6" s="39">
        <v>2</v>
      </c>
      <c r="N6" s="40">
        <f t="shared" ref="N6:N11" si="3">(10*F6)+(8*G6)+(9*H6)+(12*I6)+(11*J6)+(12*K6)+(9*L6)</f>
        <v>24</v>
      </c>
      <c r="O6" s="57" t="s">
        <v>20</v>
      </c>
      <c r="P6" s="57" t="s">
        <v>20</v>
      </c>
      <c r="Q6" s="33" t="s">
        <v>16</v>
      </c>
      <c r="R6" s="33" t="s">
        <v>16</v>
      </c>
      <c r="S6" s="33" t="s">
        <v>16</v>
      </c>
      <c r="T6" s="43" t="s">
        <v>20</v>
      </c>
      <c r="U6" s="44" t="s">
        <v>20</v>
      </c>
      <c r="V6" s="36">
        <v>0</v>
      </c>
      <c r="W6" s="37">
        <v>0</v>
      </c>
      <c r="X6" s="37">
        <v>0</v>
      </c>
      <c r="Y6" s="37">
        <v>3</v>
      </c>
      <c r="Z6" s="37">
        <v>0</v>
      </c>
      <c r="AA6" s="38">
        <v>0</v>
      </c>
      <c r="AB6" s="38">
        <v>0</v>
      </c>
      <c r="AC6" s="39">
        <v>4</v>
      </c>
      <c r="AD6" s="40">
        <f t="shared" ref="AD6:AD11" si="4">(10*V6)+(8*W6)+(9*X6)+(12*Y6)+(11*Z6)+(12*AA6)+(9*AB6)</f>
        <v>36</v>
      </c>
      <c r="AE6" s="58" t="s">
        <v>16</v>
      </c>
      <c r="AF6" s="59" t="s">
        <v>16</v>
      </c>
      <c r="AG6" s="57" t="s">
        <v>20</v>
      </c>
      <c r="AH6" s="57" t="s">
        <v>20</v>
      </c>
      <c r="AI6" s="57" t="s">
        <v>20</v>
      </c>
      <c r="AJ6" s="64" t="s">
        <v>16</v>
      </c>
      <c r="AK6" s="65" t="s">
        <v>16</v>
      </c>
      <c r="AL6" s="36">
        <v>0</v>
      </c>
      <c r="AM6" s="37">
        <v>0</v>
      </c>
      <c r="AN6" s="37">
        <v>0</v>
      </c>
      <c r="AO6" s="37">
        <v>4</v>
      </c>
      <c r="AP6" s="37">
        <v>0</v>
      </c>
      <c r="AQ6" s="38">
        <v>0</v>
      </c>
      <c r="AR6" s="38">
        <v>0</v>
      </c>
      <c r="AS6" s="39">
        <v>3</v>
      </c>
      <c r="AT6" s="40">
        <f t="shared" ref="AT6:AT11" si="5">(10*AL6)+(8*AM6)+(9*AN6)+(12*AO6)+(11*AP6)+(12*AQ6)+(9*AR6)</f>
        <v>48</v>
      </c>
      <c r="AU6" s="66" t="s">
        <v>20</v>
      </c>
      <c r="AV6" s="67" t="s">
        <v>20</v>
      </c>
      <c r="AW6" s="33" t="s">
        <v>16</v>
      </c>
      <c r="AX6" s="33" t="s">
        <v>16</v>
      </c>
      <c r="AY6" s="33" t="s">
        <v>16</v>
      </c>
      <c r="AZ6" s="60" t="s">
        <v>20</v>
      </c>
      <c r="BA6" s="60" t="s">
        <v>20</v>
      </c>
      <c r="BB6" s="36">
        <v>0</v>
      </c>
      <c r="BC6" s="37">
        <v>0</v>
      </c>
      <c r="BD6" s="37">
        <v>0</v>
      </c>
      <c r="BE6" s="37">
        <v>3</v>
      </c>
      <c r="BF6" s="37">
        <v>0</v>
      </c>
      <c r="BG6" s="38">
        <v>0</v>
      </c>
      <c r="BH6" s="38">
        <v>0</v>
      </c>
      <c r="BI6" s="39">
        <v>4</v>
      </c>
      <c r="BJ6" s="61">
        <f t="shared" ref="BJ6:BJ11" si="6">(10*BB6)+(8*BC6)+(9*BD6)+(12*BE6)+(11*BF6)+(12*BG6)+(9*BH6)</f>
        <v>36</v>
      </c>
      <c r="BK6" s="62" t="s">
        <v>16</v>
      </c>
      <c r="BL6" s="62" t="s">
        <v>16</v>
      </c>
      <c r="BM6" s="77" t="s">
        <v>20</v>
      </c>
      <c r="BN6" s="77" t="s">
        <v>20</v>
      </c>
      <c r="BO6" s="77" t="s">
        <v>20</v>
      </c>
      <c r="BP6" s="108" t="s">
        <v>16</v>
      </c>
      <c r="BQ6" s="36">
        <v>0</v>
      </c>
      <c r="BR6" s="37">
        <v>0</v>
      </c>
      <c r="BS6" s="37">
        <v>0</v>
      </c>
      <c r="BT6" s="37">
        <v>3</v>
      </c>
      <c r="BU6" s="37">
        <v>0</v>
      </c>
      <c r="BV6" s="38">
        <v>0</v>
      </c>
      <c r="BW6" s="38">
        <v>0</v>
      </c>
      <c r="BX6" s="39">
        <v>3</v>
      </c>
      <c r="BY6" s="40">
        <f t="shared" ref="BY6:BY11" si="7">(10*BQ6)+(8*BR6)+(9*BS6)+(12*BT6)+(11*BU6)+(12*BV6)+(9*BW6)</f>
        <v>36</v>
      </c>
      <c r="BZ6" s="49">
        <f t="shared" si="0"/>
        <v>0</v>
      </c>
      <c r="CA6" s="49">
        <f t="shared" si="0"/>
        <v>0</v>
      </c>
      <c r="CB6" s="49">
        <f t="shared" si="0"/>
        <v>0</v>
      </c>
      <c r="CC6" s="49">
        <f t="shared" si="0"/>
        <v>15</v>
      </c>
      <c r="CD6" s="49">
        <f t="shared" si="0"/>
        <v>0</v>
      </c>
      <c r="CE6" s="49">
        <f t="shared" si="0"/>
        <v>0</v>
      </c>
      <c r="CF6" s="49">
        <f t="shared" si="0"/>
        <v>0</v>
      </c>
      <c r="CG6" s="49">
        <f t="shared" si="0"/>
        <v>16</v>
      </c>
      <c r="CH6" s="50">
        <f t="shared" si="1"/>
        <v>15</v>
      </c>
      <c r="CI6" s="51">
        <f t="shared" ref="CI6:CI11" si="8">SUM(N6,AD6,AT6,BJ6,BY6)</f>
        <v>180</v>
      </c>
      <c r="CJ6" s="52">
        <f t="shared" si="2"/>
        <v>0</v>
      </c>
    </row>
    <row r="7" spans="1:88" x14ac:dyDescent="0.25">
      <c r="A7" s="71" t="s">
        <v>23</v>
      </c>
      <c r="B7" s="57" t="s">
        <v>20</v>
      </c>
      <c r="C7" s="57" t="s">
        <v>20</v>
      </c>
      <c r="D7" s="64" t="s">
        <v>18</v>
      </c>
      <c r="E7" s="64" t="s">
        <v>18</v>
      </c>
      <c r="F7" s="36">
        <v>0</v>
      </c>
      <c r="G7" s="37">
        <v>0</v>
      </c>
      <c r="H7" s="37">
        <v>0</v>
      </c>
      <c r="I7" s="37">
        <v>0</v>
      </c>
      <c r="J7" s="37">
        <v>0</v>
      </c>
      <c r="K7" s="38">
        <v>2</v>
      </c>
      <c r="L7" s="38">
        <v>0</v>
      </c>
      <c r="M7" s="39">
        <v>2</v>
      </c>
      <c r="N7" s="40">
        <f t="shared" si="3"/>
        <v>24</v>
      </c>
      <c r="O7" s="57" t="s">
        <v>20</v>
      </c>
      <c r="P7" s="57" t="s">
        <v>20</v>
      </c>
      <c r="Q7" s="33" t="s">
        <v>18</v>
      </c>
      <c r="R7" s="33" t="s">
        <v>18</v>
      </c>
      <c r="S7" s="57" t="s">
        <v>20</v>
      </c>
      <c r="T7" s="43" t="s">
        <v>20</v>
      </c>
      <c r="U7" s="64" t="s">
        <v>18</v>
      </c>
      <c r="V7" s="36">
        <v>0</v>
      </c>
      <c r="W7" s="37">
        <v>0</v>
      </c>
      <c r="X7" s="37">
        <v>0</v>
      </c>
      <c r="Y7" s="37">
        <v>0</v>
      </c>
      <c r="Z7" s="37">
        <v>0</v>
      </c>
      <c r="AA7" s="38">
        <v>3</v>
      </c>
      <c r="AB7" s="38">
        <v>0</v>
      </c>
      <c r="AC7" s="39">
        <v>4</v>
      </c>
      <c r="AD7" s="40">
        <f t="shared" si="4"/>
        <v>36</v>
      </c>
      <c r="AE7" s="58" t="s">
        <v>18</v>
      </c>
      <c r="AF7" s="59" t="s">
        <v>18</v>
      </c>
      <c r="AG7" s="57" t="s">
        <v>20</v>
      </c>
      <c r="AH7" s="57" t="s">
        <v>20</v>
      </c>
      <c r="AI7" s="57" t="s">
        <v>20</v>
      </c>
      <c r="AJ7" s="64" t="s">
        <v>18</v>
      </c>
      <c r="AK7" s="64" t="s">
        <v>18</v>
      </c>
      <c r="AL7" s="36">
        <v>0</v>
      </c>
      <c r="AM7" s="37">
        <v>0</v>
      </c>
      <c r="AN7" s="37">
        <v>0</v>
      </c>
      <c r="AO7" s="37">
        <v>0</v>
      </c>
      <c r="AP7" s="37">
        <v>0</v>
      </c>
      <c r="AQ7" s="38">
        <v>4</v>
      </c>
      <c r="AR7" s="38">
        <v>0</v>
      </c>
      <c r="AS7" s="39">
        <v>3</v>
      </c>
      <c r="AT7" s="40">
        <f t="shared" si="5"/>
        <v>48</v>
      </c>
      <c r="AU7" s="66" t="s">
        <v>20</v>
      </c>
      <c r="AV7" s="57" t="s">
        <v>20</v>
      </c>
      <c r="AW7" s="57" t="s">
        <v>20</v>
      </c>
      <c r="AX7" s="33" t="s">
        <v>18</v>
      </c>
      <c r="AY7" s="33" t="s">
        <v>18</v>
      </c>
      <c r="AZ7" s="64" t="s">
        <v>18</v>
      </c>
      <c r="BA7" s="60" t="s">
        <v>20</v>
      </c>
      <c r="BB7" s="36">
        <v>0</v>
      </c>
      <c r="BC7" s="37">
        <v>0</v>
      </c>
      <c r="BD7" s="37">
        <v>0</v>
      </c>
      <c r="BE7" s="37">
        <v>0</v>
      </c>
      <c r="BF7" s="37">
        <v>0</v>
      </c>
      <c r="BG7" s="38">
        <v>3</v>
      </c>
      <c r="BH7" s="38">
        <v>0</v>
      </c>
      <c r="BI7" s="39">
        <v>4</v>
      </c>
      <c r="BJ7" s="40">
        <f t="shared" si="6"/>
        <v>36</v>
      </c>
      <c r="BK7" s="72" t="s">
        <v>18</v>
      </c>
      <c r="BL7" s="73" t="s">
        <v>18</v>
      </c>
      <c r="BM7" s="74" t="s">
        <v>20</v>
      </c>
      <c r="BN7" s="74" t="s">
        <v>20</v>
      </c>
      <c r="BO7" s="74" t="s">
        <v>20</v>
      </c>
      <c r="BP7" s="111" t="s">
        <v>18</v>
      </c>
      <c r="BQ7" s="36">
        <v>0</v>
      </c>
      <c r="BR7" s="37">
        <v>0</v>
      </c>
      <c r="BS7" s="37">
        <v>0</v>
      </c>
      <c r="BT7" s="37">
        <v>0</v>
      </c>
      <c r="BU7" s="37">
        <v>0</v>
      </c>
      <c r="BV7" s="38">
        <v>3</v>
      </c>
      <c r="BW7" s="38">
        <v>0</v>
      </c>
      <c r="BX7" s="39">
        <v>3</v>
      </c>
      <c r="BY7" s="40">
        <f t="shared" si="7"/>
        <v>36</v>
      </c>
      <c r="BZ7" s="49">
        <f t="shared" si="0"/>
        <v>0</v>
      </c>
      <c r="CA7" s="49">
        <f t="shared" si="0"/>
        <v>0</v>
      </c>
      <c r="CB7" s="49">
        <f t="shared" si="0"/>
        <v>0</v>
      </c>
      <c r="CC7" s="49">
        <f t="shared" si="0"/>
        <v>0</v>
      </c>
      <c r="CD7" s="49">
        <f t="shared" si="0"/>
        <v>0</v>
      </c>
      <c r="CE7" s="49">
        <f t="shared" si="0"/>
        <v>15</v>
      </c>
      <c r="CF7" s="49">
        <f t="shared" si="0"/>
        <v>0</v>
      </c>
      <c r="CG7" s="49">
        <f t="shared" si="0"/>
        <v>16</v>
      </c>
      <c r="CH7" s="50">
        <f t="shared" si="1"/>
        <v>15</v>
      </c>
      <c r="CI7" s="51">
        <f t="shared" si="8"/>
        <v>180</v>
      </c>
      <c r="CJ7" s="52">
        <f t="shared" si="2"/>
        <v>0</v>
      </c>
    </row>
    <row r="8" spans="1:88" x14ac:dyDescent="0.25">
      <c r="A8" s="75" t="s">
        <v>24</v>
      </c>
      <c r="B8" s="76" t="s">
        <v>18</v>
      </c>
      <c r="C8" s="53" t="s">
        <v>18</v>
      </c>
      <c r="D8" s="43" t="s">
        <v>20</v>
      </c>
      <c r="E8" s="44" t="s">
        <v>20</v>
      </c>
      <c r="F8" s="36">
        <v>0</v>
      </c>
      <c r="G8" s="37">
        <v>0</v>
      </c>
      <c r="H8" s="37">
        <v>0</v>
      </c>
      <c r="I8" s="37">
        <v>0</v>
      </c>
      <c r="J8" s="37">
        <v>0</v>
      </c>
      <c r="K8" s="38">
        <v>2</v>
      </c>
      <c r="L8" s="38">
        <v>0</v>
      </c>
      <c r="M8" s="39">
        <v>2</v>
      </c>
      <c r="N8" s="40">
        <f t="shared" si="3"/>
        <v>24</v>
      </c>
      <c r="O8" s="33" t="s">
        <v>18</v>
      </c>
      <c r="P8" s="33" t="s">
        <v>18</v>
      </c>
      <c r="Q8" s="57" t="s">
        <v>20</v>
      </c>
      <c r="R8" s="57" t="s">
        <v>20</v>
      </c>
      <c r="S8" s="57" t="s">
        <v>20</v>
      </c>
      <c r="T8" s="64" t="s">
        <v>18</v>
      </c>
      <c r="U8" s="65" t="s">
        <v>18</v>
      </c>
      <c r="V8" s="36">
        <v>0</v>
      </c>
      <c r="W8" s="37">
        <v>0</v>
      </c>
      <c r="X8" s="37">
        <v>0</v>
      </c>
      <c r="Y8" s="37">
        <v>0</v>
      </c>
      <c r="Z8" s="37">
        <v>0</v>
      </c>
      <c r="AA8" s="38">
        <v>4</v>
      </c>
      <c r="AB8" s="38">
        <v>0</v>
      </c>
      <c r="AC8" s="39">
        <v>3</v>
      </c>
      <c r="AD8" s="40">
        <f t="shared" si="4"/>
        <v>48</v>
      </c>
      <c r="AE8" s="66" t="s">
        <v>20</v>
      </c>
      <c r="AF8" s="67" t="s">
        <v>20</v>
      </c>
      <c r="AG8" s="33" t="s">
        <v>18</v>
      </c>
      <c r="AH8" s="33" t="s">
        <v>18</v>
      </c>
      <c r="AI8" s="33" t="s">
        <v>18</v>
      </c>
      <c r="AJ8" s="43" t="s">
        <v>20</v>
      </c>
      <c r="AK8" s="44" t="s">
        <v>20</v>
      </c>
      <c r="AL8" s="36">
        <v>0</v>
      </c>
      <c r="AM8" s="37">
        <v>0</v>
      </c>
      <c r="AN8" s="37">
        <v>0</v>
      </c>
      <c r="AO8" s="37">
        <v>0</v>
      </c>
      <c r="AP8" s="37">
        <v>0</v>
      </c>
      <c r="AQ8" s="38">
        <v>3</v>
      </c>
      <c r="AR8" s="38">
        <v>0</v>
      </c>
      <c r="AS8" s="39">
        <v>4</v>
      </c>
      <c r="AT8" s="40">
        <f t="shared" si="5"/>
        <v>36</v>
      </c>
      <c r="AU8" s="59" t="s">
        <v>18</v>
      </c>
      <c r="AV8" s="33" t="s">
        <v>18</v>
      </c>
      <c r="AW8" s="57" t="s">
        <v>20</v>
      </c>
      <c r="AX8" s="57" t="s">
        <v>20</v>
      </c>
      <c r="AY8" s="57" t="s">
        <v>20</v>
      </c>
      <c r="AZ8" s="68" t="s">
        <v>18</v>
      </c>
      <c r="BA8" s="68" t="s">
        <v>18</v>
      </c>
      <c r="BB8" s="36">
        <v>0</v>
      </c>
      <c r="BC8" s="37">
        <v>0</v>
      </c>
      <c r="BD8" s="37">
        <v>0</v>
      </c>
      <c r="BE8" s="37">
        <v>0</v>
      </c>
      <c r="BF8" s="37">
        <v>0</v>
      </c>
      <c r="BG8" s="38">
        <v>4</v>
      </c>
      <c r="BH8" s="38">
        <v>0</v>
      </c>
      <c r="BI8" s="39">
        <v>3</v>
      </c>
      <c r="BJ8" s="61">
        <f t="shared" si="6"/>
        <v>48</v>
      </c>
      <c r="BK8" s="69" t="s">
        <v>20</v>
      </c>
      <c r="BL8" s="69" t="s">
        <v>20</v>
      </c>
      <c r="BM8" s="63" t="s">
        <v>18</v>
      </c>
      <c r="BN8" s="63" t="s">
        <v>18</v>
      </c>
      <c r="BO8" s="63" t="s">
        <v>18</v>
      </c>
      <c r="BP8" s="110" t="s">
        <v>20</v>
      </c>
      <c r="BQ8" s="36">
        <v>0</v>
      </c>
      <c r="BR8" s="37">
        <v>0</v>
      </c>
      <c r="BS8" s="37">
        <v>0</v>
      </c>
      <c r="BT8" s="37">
        <v>0</v>
      </c>
      <c r="BU8" s="37">
        <v>0</v>
      </c>
      <c r="BV8" s="38">
        <v>3</v>
      </c>
      <c r="BW8" s="38">
        <v>0</v>
      </c>
      <c r="BX8" s="39">
        <v>3</v>
      </c>
      <c r="BY8" s="40">
        <f t="shared" si="7"/>
        <v>36</v>
      </c>
      <c r="BZ8" s="49">
        <f t="shared" si="0"/>
        <v>0</v>
      </c>
      <c r="CA8" s="49">
        <f t="shared" si="0"/>
        <v>0</v>
      </c>
      <c r="CB8" s="49">
        <f t="shared" si="0"/>
        <v>0</v>
      </c>
      <c r="CC8" s="49">
        <f t="shared" si="0"/>
        <v>0</v>
      </c>
      <c r="CD8" s="49">
        <f t="shared" si="0"/>
        <v>0</v>
      </c>
      <c r="CE8" s="49">
        <f t="shared" si="0"/>
        <v>16</v>
      </c>
      <c r="CF8" s="49">
        <f t="shared" si="0"/>
        <v>0</v>
      </c>
      <c r="CG8" s="49">
        <f t="shared" si="0"/>
        <v>15</v>
      </c>
      <c r="CH8" s="50">
        <f t="shared" si="1"/>
        <v>16</v>
      </c>
      <c r="CI8" s="51">
        <f t="shared" si="8"/>
        <v>192</v>
      </c>
      <c r="CJ8" s="52">
        <f t="shared" si="2"/>
        <v>12</v>
      </c>
    </row>
    <row r="9" spans="1:88" x14ac:dyDescent="0.25">
      <c r="A9" s="71" t="s">
        <v>25</v>
      </c>
      <c r="B9" s="33" t="s">
        <v>18</v>
      </c>
      <c r="C9" s="57" t="s">
        <v>20</v>
      </c>
      <c r="D9" s="43" t="s">
        <v>20</v>
      </c>
      <c r="E9" s="64" t="s">
        <v>18</v>
      </c>
      <c r="F9" s="36">
        <v>0</v>
      </c>
      <c r="G9" s="37">
        <v>0</v>
      </c>
      <c r="H9" s="37">
        <v>0</v>
      </c>
      <c r="I9" s="37">
        <v>0</v>
      </c>
      <c r="J9" s="37">
        <v>0</v>
      </c>
      <c r="K9" s="38">
        <v>2</v>
      </c>
      <c r="L9" s="38">
        <v>0</v>
      </c>
      <c r="M9" s="39">
        <v>2</v>
      </c>
      <c r="N9" s="40">
        <f t="shared" si="3"/>
        <v>24</v>
      </c>
      <c r="O9" s="57" t="s">
        <v>20</v>
      </c>
      <c r="P9" s="54" t="s">
        <v>20</v>
      </c>
      <c r="Q9" s="33" t="s">
        <v>29</v>
      </c>
      <c r="R9" s="33" t="s">
        <v>29</v>
      </c>
      <c r="S9" s="33" t="s">
        <v>29</v>
      </c>
      <c r="T9" s="43" t="s">
        <v>20</v>
      </c>
      <c r="U9" s="43" t="s">
        <v>20</v>
      </c>
      <c r="V9" s="36">
        <v>0</v>
      </c>
      <c r="W9" s="37">
        <v>0</v>
      </c>
      <c r="X9" s="37">
        <v>0</v>
      </c>
      <c r="Y9" s="37">
        <v>0</v>
      </c>
      <c r="Z9" s="37">
        <v>0</v>
      </c>
      <c r="AA9" s="38">
        <v>3</v>
      </c>
      <c r="AB9" s="38">
        <v>0</v>
      </c>
      <c r="AC9" s="39">
        <v>4</v>
      </c>
      <c r="AD9" s="40">
        <f t="shared" si="4"/>
        <v>36</v>
      </c>
      <c r="AE9" s="58" t="s">
        <v>29</v>
      </c>
      <c r="AF9" s="59" t="s">
        <v>29</v>
      </c>
      <c r="AG9" s="57" t="s">
        <v>20</v>
      </c>
      <c r="AH9" s="57" t="s">
        <v>20</v>
      </c>
      <c r="AI9" s="57" t="s">
        <v>20</v>
      </c>
      <c r="AJ9" s="64" t="s">
        <v>29</v>
      </c>
      <c r="AK9" s="64" t="s">
        <v>29</v>
      </c>
      <c r="AL9" s="36">
        <v>0</v>
      </c>
      <c r="AM9" s="37">
        <v>0</v>
      </c>
      <c r="AN9" s="37">
        <v>0</v>
      </c>
      <c r="AO9" s="37">
        <v>0</v>
      </c>
      <c r="AP9" s="37">
        <v>0</v>
      </c>
      <c r="AQ9" s="38">
        <v>4</v>
      </c>
      <c r="AR9" s="38">
        <v>0</v>
      </c>
      <c r="AS9" s="39">
        <v>3</v>
      </c>
      <c r="AT9" s="40">
        <f t="shared" si="5"/>
        <v>48</v>
      </c>
      <c r="AU9" s="66" t="s">
        <v>20</v>
      </c>
      <c r="AV9" s="57" t="s">
        <v>20</v>
      </c>
      <c r="AW9" s="33" t="s">
        <v>29</v>
      </c>
      <c r="AX9" s="33" t="s">
        <v>29</v>
      </c>
      <c r="AY9" s="53" t="s">
        <v>29</v>
      </c>
      <c r="AZ9" s="43" t="s">
        <v>20</v>
      </c>
      <c r="BA9" s="60" t="s">
        <v>20</v>
      </c>
      <c r="BB9" s="36">
        <v>0</v>
      </c>
      <c r="BC9" s="37">
        <v>0</v>
      </c>
      <c r="BD9" s="37">
        <v>0</v>
      </c>
      <c r="BE9" s="37">
        <v>0</v>
      </c>
      <c r="BF9" s="37">
        <v>0</v>
      </c>
      <c r="BG9" s="38">
        <v>3</v>
      </c>
      <c r="BH9" s="38">
        <v>0</v>
      </c>
      <c r="BI9" s="39">
        <v>4</v>
      </c>
      <c r="BJ9" s="40">
        <f t="shared" si="6"/>
        <v>36</v>
      </c>
      <c r="BK9" s="72" t="s">
        <v>29</v>
      </c>
      <c r="BL9" s="73" t="s">
        <v>29</v>
      </c>
      <c r="BM9" s="74" t="s">
        <v>20</v>
      </c>
      <c r="BN9" s="74" t="s">
        <v>20</v>
      </c>
      <c r="BO9" s="74" t="s">
        <v>20</v>
      </c>
      <c r="BP9" s="111" t="s">
        <v>29</v>
      </c>
      <c r="BQ9" s="36">
        <v>0</v>
      </c>
      <c r="BR9" s="37">
        <v>0</v>
      </c>
      <c r="BS9" s="37">
        <v>0</v>
      </c>
      <c r="BT9" s="37">
        <v>0</v>
      </c>
      <c r="BU9" s="37">
        <v>0</v>
      </c>
      <c r="BV9" s="38">
        <v>3</v>
      </c>
      <c r="BW9" s="38">
        <v>0</v>
      </c>
      <c r="BX9" s="39">
        <v>3</v>
      </c>
      <c r="BY9" s="40">
        <f t="shared" si="7"/>
        <v>36</v>
      </c>
      <c r="BZ9" s="49">
        <f t="shared" si="0"/>
        <v>0</v>
      </c>
      <c r="CA9" s="49">
        <f t="shared" si="0"/>
        <v>0</v>
      </c>
      <c r="CB9" s="49">
        <f t="shared" si="0"/>
        <v>0</v>
      </c>
      <c r="CC9" s="49">
        <f t="shared" si="0"/>
        <v>0</v>
      </c>
      <c r="CD9" s="49">
        <f t="shared" si="0"/>
        <v>0</v>
      </c>
      <c r="CE9" s="49">
        <f t="shared" si="0"/>
        <v>15</v>
      </c>
      <c r="CF9" s="49">
        <f t="shared" si="0"/>
        <v>0</v>
      </c>
      <c r="CG9" s="49">
        <f t="shared" si="0"/>
        <v>16</v>
      </c>
      <c r="CH9" s="50">
        <f t="shared" si="1"/>
        <v>15</v>
      </c>
      <c r="CI9" s="51">
        <f t="shared" si="8"/>
        <v>180</v>
      </c>
      <c r="CJ9" s="52">
        <f t="shared" si="2"/>
        <v>0</v>
      </c>
    </row>
    <row r="10" spans="1:88" x14ac:dyDescent="0.25">
      <c r="A10" s="71" t="s">
        <v>26</v>
      </c>
      <c r="B10" s="115" t="s">
        <v>16</v>
      </c>
      <c r="C10" s="33" t="s">
        <v>16</v>
      </c>
      <c r="D10" s="43" t="s">
        <v>20</v>
      </c>
      <c r="E10" s="43" t="s">
        <v>20</v>
      </c>
      <c r="F10" s="36">
        <v>0</v>
      </c>
      <c r="G10" s="37">
        <v>0</v>
      </c>
      <c r="H10" s="37">
        <v>0</v>
      </c>
      <c r="I10" s="37">
        <v>2</v>
      </c>
      <c r="J10" s="37">
        <v>0</v>
      </c>
      <c r="K10" s="38">
        <v>0</v>
      </c>
      <c r="L10" s="38">
        <v>0</v>
      </c>
      <c r="M10" s="39">
        <v>2</v>
      </c>
      <c r="N10" s="40">
        <f t="shared" si="3"/>
        <v>24</v>
      </c>
      <c r="O10" s="53" t="s">
        <v>16</v>
      </c>
      <c r="P10" s="53" t="s">
        <v>16</v>
      </c>
      <c r="Q10" s="57" t="s">
        <v>20</v>
      </c>
      <c r="R10" s="57" t="s">
        <v>20</v>
      </c>
      <c r="S10" s="57" t="s">
        <v>20</v>
      </c>
      <c r="T10" s="78" t="s">
        <v>16</v>
      </c>
      <c r="U10" s="78" t="s">
        <v>16</v>
      </c>
      <c r="V10" s="36">
        <v>0</v>
      </c>
      <c r="W10" s="37">
        <v>0</v>
      </c>
      <c r="X10" s="37">
        <v>0</v>
      </c>
      <c r="Y10" s="37">
        <v>4</v>
      </c>
      <c r="Z10" s="37">
        <v>0</v>
      </c>
      <c r="AA10" s="38">
        <v>0</v>
      </c>
      <c r="AB10" s="38">
        <v>0</v>
      </c>
      <c r="AC10" s="39">
        <v>3</v>
      </c>
      <c r="AD10" s="40">
        <f t="shared" si="4"/>
        <v>48</v>
      </c>
      <c r="AE10" s="66" t="s">
        <v>20</v>
      </c>
      <c r="AF10" s="66" t="s">
        <v>20</v>
      </c>
      <c r="AG10" s="58" t="s">
        <v>16</v>
      </c>
      <c r="AH10" s="55" t="s">
        <v>16</v>
      </c>
      <c r="AI10" s="53" t="s">
        <v>16</v>
      </c>
      <c r="AJ10" s="43" t="s">
        <v>20</v>
      </c>
      <c r="AK10" s="44" t="s">
        <v>20</v>
      </c>
      <c r="AL10" s="36">
        <v>0</v>
      </c>
      <c r="AM10" s="37">
        <v>0</v>
      </c>
      <c r="AN10" s="37">
        <v>0</v>
      </c>
      <c r="AO10" s="37">
        <v>3</v>
      </c>
      <c r="AP10" s="37">
        <v>0</v>
      </c>
      <c r="AQ10" s="38">
        <v>0</v>
      </c>
      <c r="AR10" s="38">
        <v>0</v>
      </c>
      <c r="AS10" s="39">
        <v>4</v>
      </c>
      <c r="AT10" s="40">
        <f t="shared" si="5"/>
        <v>36</v>
      </c>
      <c r="AU10" s="55" t="s">
        <v>16</v>
      </c>
      <c r="AV10" s="53" t="s">
        <v>16</v>
      </c>
      <c r="AW10" s="57" t="s">
        <v>20</v>
      </c>
      <c r="AX10" s="57" t="s">
        <v>20</v>
      </c>
      <c r="AY10" s="57" t="s">
        <v>20</v>
      </c>
      <c r="AZ10" s="78" t="s">
        <v>16</v>
      </c>
      <c r="BA10" s="79" t="s">
        <v>16</v>
      </c>
      <c r="BB10" s="36">
        <v>0</v>
      </c>
      <c r="BC10" s="37">
        <v>0</v>
      </c>
      <c r="BD10" s="37">
        <v>0</v>
      </c>
      <c r="BE10" s="37">
        <v>4</v>
      </c>
      <c r="BF10" s="37">
        <v>0</v>
      </c>
      <c r="BG10" s="38">
        <v>0</v>
      </c>
      <c r="BH10" s="38">
        <v>0</v>
      </c>
      <c r="BI10" s="39">
        <v>3</v>
      </c>
      <c r="BJ10" s="40">
        <f t="shared" si="6"/>
        <v>48</v>
      </c>
      <c r="BK10" s="80" t="s">
        <v>20</v>
      </c>
      <c r="BL10" s="81" t="s">
        <v>20</v>
      </c>
      <c r="BM10" s="82" t="s">
        <v>16</v>
      </c>
      <c r="BN10" s="82" t="s">
        <v>16</v>
      </c>
      <c r="BO10" s="82" t="s">
        <v>16</v>
      </c>
      <c r="BP10" s="109" t="s">
        <v>20</v>
      </c>
      <c r="BQ10" s="36">
        <v>0</v>
      </c>
      <c r="BR10" s="37">
        <v>0</v>
      </c>
      <c r="BS10" s="37">
        <v>0</v>
      </c>
      <c r="BT10" s="37">
        <v>3</v>
      </c>
      <c r="BU10" s="37">
        <v>0</v>
      </c>
      <c r="BV10" s="38">
        <v>0</v>
      </c>
      <c r="BW10" s="38">
        <v>0</v>
      </c>
      <c r="BX10" s="39">
        <v>3</v>
      </c>
      <c r="BY10" s="40">
        <f t="shared" si="7"/>
        <v>36</v>
      </c>
      <c r="BZ10" s="49">
        <f t="shared" si="0"/>
        <v>0</v>
      </c>
      <c r="CA10" s="49">
        <f t="shared" si="0"/>
        <v>0</v>
      </c>
      <c r="CB10" s="49">
        <f t="shared" si="0"/>
        <v>0</v>
      </c>
      <c r="CC10" s="49">
        <f t="shared" si="0"/>
        <v>16</v>
      </c>
      <c r="CD10" s="49">
        <f t="shared" si="0"/>
        <v>0</v>
      </c>
      <c r="CE10" s="49">
        <f t="shared" si="0"/>
        <v>0</v>
      </c>
      <c r="CF10" s="49">
        <f t="shared" si="0"/>
        <v>0</v>
      </c>
      <c r="CG10" s="49">
        <f t="shared" si="0"/>
        <v>15</v>
      </c>
      <c r="CH10" s="50">
        <f t="shared" si="1"/>
        <v>16</v>
      </c>
      <c r="CI10" s="51">
        <f t="shared" si="8"/>
        <v>192</v>
      </c>
      <c r="CJ10" s="52">
        <f t="shared" si="2"/>
        <v>12</v>
      </c>
    </row>
    <row r="11" spans="1:88" x14ac:dyDescent="0.25">
      <c r="A11" s="84" t="s">
        <v>27</v>
      </c>
      <c r="B11" s="83" t="s">
        <v>20</v>
      </c>
      <c r="C11" s="33" t="s">
        <v>18</v>
      </c>
      <c r="D11" s="64" t="s">
        <v>18</v>
      </c>
      <c r="E11" s="43" t="s">
        <v>20</v>
      </c>
      <c r="F11" s="36">
        <v>0</v>
      </c>
      <c r="G11" s="37">
        <v>0</v>
      </c>
      <c r="H11" s="37">
        <v>0</v>
      </c>
      <c r="I11" s="37">
        <v>0</v>
      </c>
      <c r="J11" s="37">
        <v>0</v>
      </c>
      <c r="K11" s="38">
        <v>3</v>
      </c>
      <c r="L11" s="38">
        <v>0</v>
      </c>
      <c r="M11" s="39">
        <v>4</v>
      </c>
      <c r="N11" s="40">
        <f t="shared" si="3"/>
        <v>36</v>
      </c>
      <c r="O11" s="57" t="s">
        <v>20</v>
      </c>
      <c r="P11" s="57" t="s">
        <v>20</v>
      </c>
      <c r="Q11" s="33" t="s">
        <v>18</v>
      </c>
      <c r="R11" s="57" t="s">
        <v>20</v>
      </c>
      <c r="S11" s="33" t="s">
        <v>18</v>
      </c>
      <c r="T11" s="64" t="s">
        <v>18</v>
      </c>
      <c r="U11" s="43" t="s">
        <v>20</v>
      </c>
      <c r="V11" s="36">
        <v>0</v>
      </c>
      <c r="W11" s="37">
        <v>0</v>
      </c>
      <c r="X11" s="37">
        <v>0</v>
      </c>
      <c r="Y11" s="37">
        <v>0</v>
      </c>
      <c r="Z11" s="37">
        <v>0</v>
      </c>
      <c r="AA11" s="38">
        <v>3</v>
      </c>
      <c r="AB11" s="38">
        <v>0</v>
      </c>
      <c r="AC11" s="39">
        <v>4</v>
      </c>
      <c r="AD11" s="40">
        <f t="shared" si="4"/>
        <v>36</v>
      </c>
      <c r="AE11" s="66" t="s">
        <v>20</v>
      </c>
      <c r="AF11" s="58" t="s">
        <v>18</v>
      </c>
      <c r="AG11" s="66" t="s">
        <v>20</v>
      </c>
      <c r="AH11" s="66" t="s">
        <v>20</v>
      </c>
      <c r="AI11" s="33" t="s">
        <v>18</v>
      </c>
      <c r="AJ11" s="64" t="s">
        <v>18</v>
      </c>
      <c r="AK11" s="65" t="s">
        <v>18</v>
      </c>
      <c r="AL11" s="36">
        <v>0</v>
      </c>
      <c r="AM11" s="37">
        <v>0</v>
      </c>
      <c r="AN11" s="37">
        <v>0</v>
      </c>
      <c r="AO11" s="37">
        <v>0</v>
      </c>
      <c r="AP11" s="37">
        <v>0</v>
      </c>
      <c r="AQ11" s="38">
        <v>4</v>
      </c>
      <c r="AR11" s="38">
        <v>0</v>
      </c>
      <c r="AS11" s="39">
        <v>3</v>
      </c>
      <c r="AT11" s="40">
        <f t="shared" si="5"/>
        <v>48</v>
      </c>
      <c r="AU11" s="66" t="s">
        <v>20</v>
      </c>
      <c r="AV11" s="57" t="s">
        <v>20</v>
      </c>
      <c r="AW11" s="33" t="s">
        <v>18</v>
      </c>
      <c r="AX11" s="33" t="s">
        <v>18</v>
      </c>
      <c r="AY11" s="57" t="s">
        <v>20</v>
      </c>
      <c r="AZ11" s="43" t="s">
        <v>20</v>
      </c>
      <c r="BA11" s="68" t="s">
        <v>18</v>
      </c>
      <c r="BB11" s="36">
        <v>0</v>
      </c>
      <c r="BC11" s="37">
        <v>0</v>
      </c>
      <c r="BD11" s="37">
        <v>0</v>
      </c>
      <c r="BE11" s="37">
        <v>0</v>
      </c>
      <c r="BF11" s="37">
        <v>0</v>
      </c>
      <c r="BG11" s="38">
        <v>3</v>
      </c>
      <c r="BH11" s="38">
        <v>0</v>
      </c>
      <c r="BI11" s="39">
        <v>4</v>
      </c>
      <c r="BJ11" s="40">
        <f t="shared" si="6"/>
        <v>36</v>
      </c>
      <c r="BK11" s="80" t="s">
        <v>20</v>
      </c>
      <c r="BL11" s="73" t="s">
        <v>18</v>
      </c>
      <c r="BM11" s="74" t="s">
        <v>20</v>
      </c>
      <c r="BN11" s="74" t="s">
        <v>20</v>
      </c>
      <c r="BO11" s="82" t="s">
        <v>18</v>
      </c>
      <c r="BP11" s="111" t="s">
        <v>18</v>
      </c>
      <c r="BQ11" s="36">
        <v>0</v>
      </c>
      <c r="BR11" s="37">
        <v>0</v>
      </c>
      <c r="BS11" s="37">
        <v>0</v>
      </c>
      <c r="BT11" s="37">
        <v>0</v>
      </c>
      <c r="BU11" s="37">
        <v>0</v>
      </c>
      <c r="BV11" s="38">
        <v>2</v>
      </c>
      <c r="BW11" s="38">
        <v>0</v>
      </c>
      <c r="BX11" s="39">
        <v>1</v>
      </c>
      <c r="BY11" s="40">
        <f t="shared" si="7"/>
        <v>24</v>
      </c>
      <c r="BZ11" s="49">
        <f t="shared" si="0"/>
        <v>0</v>
      </c>
      <c r="CA11" s="49">
        <f t="shared" si="0"/>
        <v>0</v>
      </c>
      <c r="CB11" s="49">
        <f t="shared" si="0"/>
        <v>0</v>
      </c>
      <c r="CC11" s="49">
        <f t="shared" si="0"/>
        <v>0</v>
      </c>
      <c r="CD11" s="49">
        <f t="shared" si="0"/>
        <v>0</v>
      </c>
      <c r="CE11" s="49">
        <f t="shared" si="0"/>
        <v>15</v>
      </c>
      <c r="CF11" s="49">
        <f t="shared" si="0"/>
        <v>0</v>
      </c>
      <c r="CG11" s="49">
        <f t="shared" si="0"/>
        <v>16</v>
      </c>
      <c r="CH11" s="50">
        <f t="shared" si="1"/>
        <v>15</v>
      </c>
      <c r="CI11" s="51">
        <f t="shared" si="8"/>
        <v>180</v>
      </c>
      <c r="CJ11" s="52">
        <f t="shared" si="2"/>
        <v>0</v>
      </c>
    </row>
    <row r="12" spans="1:88" x14ac:dyDescent="0.25">
      <c r="A12" s="71"/>
      <c r="B12" s="83"/>
      <c r="C12" s="57"/>
      <c r="D12" s="43"/>
      <c r="E12" s="43"/>
      <c r="F12" s="36"/>
      <c r="G12" s="37"/>
      <c r="H12" s="37"/>
      <c r="I12" s="37"/>
      <c r="J12" s="37"/>
      <c r="K12" s="38"/>
      <c r="L12" s="38"/>
      <c r="M12" s="39"/>
      <c r="N12" s="40"/>
      <c r="O12" s="53"/>
      <c r="P12" s="53"/>
      <c r="Q12" s="57"/>
      <c r="R12" s="57"/>
      <c r="S12" s="57"/>
      <c r="T12" s="78"/>
      <c r="U12" s="78"/>
      <c r="V12" s="36"/>
      <c r="W12" s="37"/>
      <c r="X12" s="37"/>
      <c r="Y12" s="37"/>
      <c r="Z12" s="37"/>
      <c r="AA12" s="38"/>
      <c r="AB12" s="38"/>
      <c r="AC12" s="39"/>
      <c r="AD12" s="40"/>
      <c r="AE12" s="66"/>
      <c r="AF12" s="66"/>
      <c r="AG12" s="55"/>
      <c r="AH12" s="55"/>
      <c r="AI12" s="53"/>
      <c r="AJ12" s="43"/>
      <c r="AK12" s="44"/>
      <c r="AL12" s="36"/>
      <c r="AM12" s="37"/>
      <c r="AN12" s="37"/>
      <c r="AO12" s="37"/>
      <c r="AP12" s="37"/>
      <c r="AQ12" s="38"/>
      <c r="AR12" s="38"/>
      <c r="AS12" s="39"/>
      <c r="AT12" s="40"/>
      <c r="AU12" s="55"/>
      <c r="AV12" s="53"/>
      <c r="AW12" s="57"/>
      <c r="AX12" s="57"/>
      <c r="AY12" s="53"/>
      <c r="AZ12" s="78"/>
      <c r="BA12" s="79"/>
      <c r="BB12" s="36"/>
      <c r="BC12" s="37"/>
      <c r="BD12" s="37"/>
      <c r="BE12" s="37"/>
      <c r="BF12" s="37"/>
      <c r="BG12" s="38"/>
      <c r="BH12" s="38"/>
      <c r="BI12" s="39"/>
      <c r="BJ12" s="40"/>
      <c r="BK12" s="80"/>
      <c r="BL12" s="81"/>
      <c r="BM12" s="74"/>
      <c r="BN12" s="74"/>
      <c r="BO12" s="74"/>
      <c r="BP12" s="109"/>
      <c r="BQ12" s="36"/>
      <c r="BR12" s="37"/>
      <c r="BS12" s="37"/>
      <c r="BT12" s="37"/>
      <c r="BU12" s="37"/>
      <c r="BV12" s="38"/>
      <c r="BW12" s="38"/>
      <c r="BX12" s="39"/>
      <c r="BY12" s="40"/>
      <c r="BZ12" s="49"/>
      <c r="CA12" s="49"/>
      <c r="CB12" s="49"/>
      <c r="CC12" s="49"/>
      <c r="CD12" s="49"/>
      <c r="CE12" s="49"/>
      <c r="CF12" s="49"/>
      <c r="CG12" s="49"/>
      <c r="CH12" s="50"/>
      <c r="CI12" s="51"/>
      <c r="CJ12" s="52"/>
    </row>
    <row r="13" spans="1:88" x14ac:dyDescent="0.25">
      <c r="A13" s="71"/>
      <c r="B13" s="83"/>
      <c r="C13" s="57"/>
      <c r="D13" s="43"/>
      <c r="E13" s="43"/>
      <c r="F13" s="36"/>
      <c r="G13" s="37"/>
      <c r="H13" s="37"/>
      <c r="I13" s="37"/>
      <c r="J13" s="37"/>
      <c r="K13" s="38"/>
      <c r="L13" s="38"/>
      <c r="M13" s="39"/>
      <c r="N13" s="40"/>
      <c r="O13" s="53"/>
      <c r="P13" s="53"/>
      <c r="Q13" s="57"/>
      <c r="R13" s="57"/>
      <c r="S13" s="57"/>
      <c r="T13" s="78"/>
      <c r="U13" s="78"/>
      <c r="V13" s="36"/>
      <c r="W13" s="37"/>
      <c r="X13" s="37"/>
      <c r="Y13" s="37"/>
      <c r="Z13" s="37"/>
      <c r="AA13" s="38"/>
      <c r="AB13" s="38"/>
      <c r="AC13" s="39"/>
      <c r="AD13" s="40"/>
      <c r="AE13" s="66"/>
      <c r="AF13" s="66"/>
      <c r="AG13" s="55"/>
      <c r="AH13" s="55"/>
      <c r="AI13" s="53"/>
      <c r="AJ13" s="43"/>
      <c r="AK13" s="44"/>
      <c r="AL13" s="36"/>
      <c r="AM13" s="37"/>
      <c r="AN13" s="37"/>
      <c r="AO13" s="37"/>
      <c r="AP13" s="37"/>
      <c r="AQ13" s="38"/>
      <c r="AR13" s="38"/>
      <c r="AS13" s="39"/>
      <c r="AT13" s="40"/>
      <c r="AU13" s="55"/>
      <c r="AV13" s="53"/>
      <c r="AW13" s="57"/>
      <c r="AX13" s="57"/>
      <c r="AY13" s="53"/>
      <c r="AZ13" s="78"/>
      <c r="BA13" s="79"/>
      <c r="BB13" s="36"/>
      <c r="BC13" s="37"/>
      <c r="BD13" s="37"/>
      <c r="BE13" s="37"/>
      <c r="BF13" s="37"/>
      <c r="BG13" s="38"/>
      <c r="BH13" s="38"/>
      <c r="BI13" s="39"/>
      <c r="BJ13" s="40"/>
      <c r="BK13" s="80"/>
      <c r="BL13" s="81"/>
      <c r="BM13" s="74"/>
      <c r="BN13" s="74"/>
      <c r="BO13" s="74"/>
      <c r="BP13" s="109"/>
      <c r="BQ13" s="36"/>
      <c r="BR13" s="37"/>
      <c r="BS13" s="37"/>
      <c r="BT13" s="37"/>
      <c r="BU13" s="37"/>
      <c r="BV13" s="38"/>
      <c r="BW13" s="38"/>
      <c r="BX13" s="39"/>
      <c r="BY13" s="40"/>
      <c r="BZ13" s="49"/>
      <c r="CA13" s="49"/>
      <c r="CB13" s="49"/>
      <c r="CC13" s="49"/>
      <c r="CD13" s="49"/>
      <c r="CE13" s="49"/>
      <c r="CF13" s="49"/>
      <c r="CG13" s="49"/>
      <c r="CH13" s="50"/>
      <c r="CI13" s="51"/>
      <c r="CJ13" s="52"/>
    </row>
    <row r="14" spans="1:88" x14ac:dyDescent="0.25">
      <c r="A14" s="84"/>
      <c r="B14" s="84"/>
      <c r="C14" s="85"/>
      <c r="D14" s="86"/>
      <c r="E14" s="86"/>
      <c r="F14" s="87"/>
      <c r="G14" s="87"/>
      <c r="H14" s="87"/>
      <c r="I14" s="87"/>
      <c r="J14" s="87"/>
      <c r="K14" s="87"/>
      <c r="L14" s="87"/>
      <c r="M14" s="87"/>
      <c r="N14" s="87"/>
      <c r="O14" s="85"/>
      <c r="P14" s="85"/>
      <c r="Q14" s="85"/>
      <c r="R14" s="85"/>
      <c r="S14" s="86"/>
      <c r="T14" s="86"/>
      <c r="U14" s="86"/>
      <c r="V14" s="87"/>
      <c r="W14" s="87"/>
      <c r="X14" s="87"/>
      <c r="Y14" s="87"/>
      <c r="Z14" s="87"/>
      <c r="AA14" s="87"/>
      <c r="AB14" s="87"/>
      <c r="AC14" s="87"/>
      <c r="AD14" s="87"/>
      <c r="AE14" s="85"/>
      <c r="AF14" s="85"/>
      <c r="AG14" s="85"/>
      <c r="AH14" s="85"/>
      <c r="AI14" s="86"/>
      <c r="AJ14" s="86"/>
      <c r="AK14" s="86"/>
      <c r="AL14" s="87"/>
      <c r="AM14" s="87"/>
      <c r="AN14" s="87"/>
      <c r="AO14" s="87"/>
      <c r="AP14" s="87"/>
      <c r="AQ14" s="87"/>
      <c r="AR14" s="87"/>
      <c r="AS14" s="87"/>
      <c r="AT14" s="87"/>
      <c r="AU14" s="86"/>
      <c r="AV14" s="86"/>
      <c r="AW14" s="85"/>
      <c r="AX14" s="85"/>
      <c r="AY14" s="86"/>
      <c r="AZ14" s="86"/>
      <c r="BA14" s="86"/>
      <c r="BB14" s="87"/>
      <c r="BC14" s="87"/>
      <c r="BD14" s="87"/>
      <c r="BE14" s="87"/>
      <c r="BF14" s="87"/>
      <c r="BG14" s="87"/>
      <c r="BH14" s="87"/>
      <c r="BI14" s="87"/>
      <c r="BJ14" s="87"/>
      <c r="BK14" s="88"/>
      <c r="BL14" s="88"/>
      <c r="BM14" s="88"/>
      <c r="BN14" s="88"/>
      <c r="BO14" s="88"/>
      <c r="BP14" s="88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9"/>
      <c r="CI14" s="89"/>
      <c r="CJ14" s="89"/>
    </row>
    <row r="15" spans="1:88" ht="16.5" thickBot="1" x14ac:dyDescent="0.3">
      <c r="A15" s="90" t="s">
        <v>28</v>
      </c>
      <c r="B15" s="90"/>
      <c r="C15" s="91"/>
      <c r="D15" s="91"/>
      <c r="E15" s="91"/>
      <c r="F15" s="92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3"/>
      <c r="AX15" s="93"/>
      <c r="AY15" s="93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3"/>
      <c r="BK15" s="93"/>
      <c r="BL15" s="93"/>
      <c r="BM15" s="93"/>
      <c r="BN15" s="93"/>
      <c r="BO15" s="93"/>
      <c r="BP15" s="93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</row>
    <row r="16" spans="1:88" ht="15.75" thickBot="1" x14ac:dyDescent="0.3">
      <c r="A16" s="2" t="s">
        <v>0</v>
      </c>
      <c r="B16" s="94" t="s">
        <v>4</v>
      </c>
      <c r="C16" s="4" t="s">
        <v>5</v>
      </c>
      <c r="D16" s="5" t="s">
        <v>6</v>
      </c>
      <c r="E16" s="6" t="s">
        <v>7</v>
      </c>
      <c r="F16" s="226" t="s">
        <v>8</v>
      </c>
      <c r="G16" s="227"/>
      <c r="H16" s="227"/>
      <c r="I16" s="227"/>
      <c r="J16" s="227"/>
      <c r="K16" s="227"/>
      <c r="L16" s="227"/>
      <c r="M16" s="228"/>
      <c r="N16" s="7" t="s">
        <v>9</v>
      </c>
      <c r="O16" s="4" t="s">
        <v>1</v>
      </c>
      <c r="P16" s="4" t="s">
        <v>2</v>
      </c>
      <c r="Q16" s="4" t="s">
        <v>3</v>
      </c>
      <c r="R16" s="4" t="s">
        <v>4</v>
      </c>
      <c r="S16" s="4" t="s">
        <v>5</v>
      </c>
      <c r="T16" s="8" t="s">
        <v>6</v>
      </c>
      <c r="U16" s="9" t="s">
        <v>7</v>
      </c>
      <c r="V16" s="226" t="s">
        <v>8</v>
      </c>
      <c r="W16" s="227"/>
      <c r="X16" s="227"/>
      <c r="Y16" s="227"/>
      <c r="Z16" s="227"/>
      <c r="AA16" s="227"/>
      <c r="AB16" s="227"/>
      <c r="AC16" s="228"/>
      <c r="AD16" s="10" t="s">
        <v>9</v>
      </c>
      <c r="AE16" s="11" t="s">
        <v>1</v>
      </c>
      <c r="AF16" s="4" t="s">
        <v>2</v>
      </c>
      <c r="AG16" s="4" t="s">
        <v>3</v>
      </c>
      <c r="AH16" s="4" t="s">
        <v>4</v>
      </c>
      <c r="AI16" s="4" t="s">
        <v>5</v>
      </c>
      <c r="AJ16" s="8" t="s">
        <v>6</v>
      </c>
      <c r="AK16" s="9" t="s">
        <v>7</v>
      </c>
      <c r="AL16" s="226" t="s">
        <v>8</v>
      </c>
      <c r="AM16" s="227"/>
      <c r="AN16" s="227"/>
      <c r="AO16" s="227"/>
      <c r="AP16" s="227"/>
      <c r="AQ16" s="227"/>
      <c r="AR16" s="227"/>
      <c r="AS16" s="228"/>
      <c r="AT16" s="10" t="s">
        <v>9</v>
      </c>
      <c r="AU16" s="11" t="s">
        <v>1</v>
      </c>
      <c r="AV16" s="4" t="s">
        <v>2</v>
      </c>
      <c r="AW16" s="4" t="s">
        <v>3</v>
      </c>
      <c r="AX16" s="4" t="s">
        <v>4</v>
      </c>
      <c r="AY16" s="4" t="s">
        <v>5</v>
      </c>
      <c r="AZ16" s="8" t="s">
        <v>6</v>
      </c>
      <c r="BA16" s="12" t="s">
        <v>7</v>
      </c>
      <c r="BB16" s="226" t="s">
        <v>8</v>
      </c>
      <c r="BC16" s="227"/>
      <c r="BD16" s="227"/>
      <c r="BE16" s="227"/>
      <c r="BF16" s="227"/>
      <c r="BG16" s="227"/>
      <c r="BH16" s="227"/>
      <c r="BI16" s="228"/>
      <c r="BJ16" s="7" t="s">
        <v>9</v>
      </c>
      <c r="BK16" s="95" t="s">
        <v>1</v>
      </c>
      <c r="BL16" s="95" t="s">
        <v>2</v>
      </c>
      <c r="BM16" s="96" t="s">
        <v>3</v>
      </c>
      <c r="BN16" s="96" t="s">
        <v>4</v>
      </c>
      <c r="BO16" s="96" t="s">
        <v>5</v>
      </c>
      <c r="BP16" s="112" t="s">
        <v>6</v>
      </c>
      <c r="BQ16" s="226" t="s">
        <v>8</v>
      </c>
      <c r="BR16" s="227"/>
      <c r="BS16" s="227"/>
      <c r="BT16" s="227"/>
      <c r="BU16" s="227"/>
      <c r="BV16" s="227"/>
      <c r="BW16" s="227"/>
      <c r="BX16" s="228"/>
      <c r="BY16" s="10" t="s">
        <v>9</v>
      </c>
      <c r="BZ16" s="222" t="s">
        <v>8</v>
      </c>
      <c r="CA16" s="223"/>
      <c r="CB16" s="223"/>
      <c r="CC16" s="223"/>
      <c r="CD16" s="223"/>
      <c r="CE16" s="223"/>
      <c r="CF16" s="223"/>
      <c r="CG16" s="223"/>
      <c r="CH16" s="224" t="s">
        <v>10</v>
      </c>
      <c r="CI16" s="229" t="s">
        <v>11</v>
      </c>
      <c r="CJ16" s="231" t="s">
        <v>12</v>
      </c>
    </row>
    <row r="17" spans="1:88" ht="15.75" thickBot="1" x14ac:dyDescent="0.3">
      <c r="A17" s="15"/>
      <c r="B17" s="16">
        <v>1</v>
      </c>
      <c r="C17" s="17">
        <v>2</v>
      </c>
      <c r="D17" s="24">
        <v>3</v>
      </c>
      <c r="E17" s="18">
        <v>4</v>
      </c>
      <c r="F17" s="19" t="s">
        <v>13</v>
      </c>
      <c r="G17" s="20" t="s">
        <v>14</v>
      </c>
      <c r="H17" s="20" t="s">
        <v>15</v>
      </c>
      <c r="I17" s="20" t="s">
        <v>16</v>
      </c>
      <c r="J17" s="20" t="s">
        <v>29</v>
      </c>
      <c r="K17" s="21" t="s">
        <v>18</v>
      </c>
      <c r="L17" s="21" t="s">
        <v>19</v>
      </c>
      <c r="M17" s="22" t="s">
        <v>20</v>
      </c>
      <c r="N17" s="23"/>
      <c r="O17" s="16">
        <v>5</v>
      </c>
      <c r="P17" s="16">
        <v>6</v>
      </c>
      <c r="Q17" s="16">
        <v>7</v>
      </c>
      <c r="R17" s="16">
        <v>8</v>
      </c>
      <c r="S17" s="16">
        <v>9</v>
      </c>
      <c r="T17" s="24">
        <v>10</v>
      </c>
      <c r="U17" s="24">
        <v>11</v>
      </c>
      <c r="V17" s="19" t="s">
        <v>13</v>
      </c>
      <c r="W17" s="20" t="s">
        <v>14</v>
      </c>
      <c r="X17" s="20" t="s">
        <v>15</v>
      </c>
      <c r="Y17" s="20" t="s">
        <v>16</v>
      </c>
      <c r="Z17" s="20" t="s">
        <v>29</v>
      </c>
      <c r="AA17" s="21" t="s">
        <v>18</v>
      </c>
      <c r="AB17" s="21" t="s">
        <v>19</v>
      </c>
      <c r="AC17" s="22" t="s">
        <v>20</v>
      </c>
      <c r="AD17" s="25"/>
      <c r="AE17" s="17">
        <v>12</v>
      </c>
      <c r="AF17" s="17">
        <v>13</v>
      </c>
      <c r="AG17" s="17">
        <v>14</v>
      </c>
      <c r="AH17" s="17">
        <v>15</v>
      </c>
      <c r="AI17" s="17">
        <v>16</v>
      </c>
      <c r="AJ17" s="18">
        <v>17</v>
      </c>
      <c r="AK17" s="18">
        <v>18</v>
      </c>
      <c r="AL17" s="19" t="s">
        <v>13</v>
      </c>
      <c r="AM17" s="20" t="s">
        <v>14</v>
      </c>
      <c r="AN17" s="20" t="s">
        <v>15</v>
      </c>
      <c r="AO17" s="20" t="s">
        <v>16</v>
      </c>
      <c r="AP17" s="20" t="s">
        <v>29</v>
      </c>
      <c r="AQ17" s="21" t="s">
        <v>18</v>
      </c>
      <c r="AR17" s="21" t="s">
        <v>19</v>
      </c>
      <c r="AS17" s="22" t="s">
        <v>20</v>
      </c>
      <c r="AT17" s="25"/>
      <c r="AU17" s="16">
        <v>19</v>
      </c>
      <c r="AV17" s="17">
        <v>20</v>
      </c>
      <c r="AW17" s="16">
        <v>21</v>
      </c>
      <c r="AX17" s="17">
        <v>22</v>
      </c>
      <c r="AY17" s="16">
        <v>23</v>
      </c>
      <c r="AZ17" s="18">
        <v>24</v>
      </c>
      <c r="BA17" s="18">
        <v>25</v>
      </c>
      <c r="BB17" s="19" t="s">
        <v>13</v>
      </c>
      <c r="BC17" s="20" t="s">
        <v>14</v>
      </c>
      <c r="BD17" s="20" t="s">
        <v>15</v>
      </c>
      <c r="BE17" s="20" t="s">
        <v>16</v>
      </c>
      <c r="BF17" s="20" t="s">
        <v>29</v>
      </c>
      <c r="BG17" s="21" t="s">
        <v>18</v>
      </c>
      <c r="BH17" s="21" t="s">
        <v>19</v>
      </c>
      <c r="BI17" s="22" t="s">
        <v>20</v>
      </c>
      <c r="BJ17" s="23"/>
      <c r="BK17" s="97">
        <v>26</v>
      </c>
      <c r="BL17" s="95">
        <v>27</v>
      </c>
      <c r="BM17" s="98">
        <v>28</v>
      </c>
      <c r="BN17" s="98">
        <v>29</v>
      </c>
      <c r="BO17" s="98">
        <v>30</v>
      </c>
      <c r="BP17" s="113">
        <v>31</v>
      </c>
      <c r="BQ17" s="19" t="s">
        <v>13</v>
      </c>
      <c r="BR17" s="20" t="s">
        <v>14</v>
      </c>
      <c r="BS17" s="20" t="s">
        <v>15</v>
      </c>
      <c r="BT17" s="20" t="s">
        <v>16</v>
      </c>
      <c r="BU17" s="20" t="s">
        <v>29</v>
      </c>
      <c r="BV17" s="21" t="s">
        <v>18</v>
      </c>
      <c r="BW17" s="21" t="s">
        <v>19</v>
      </c>
      <c r="BX17" s="22" t="s">
        <v>20</v>
      </c>
      <c r="BY17" s="25"/>
      <c r="BZ17" s="28" t="s">
        <v>13</v>
      </c>
      <c r="CA17" s="29" t="s">
        <v>14</v>
      </c>
      <c r="CB17" s="29" t="s">
        <v>15</v>
      </c>
      <c r="CC17" s="29" t="s">
        <v>16</v>
      </c>
      <c r="CD17" s="29" t="s">
        <v>17</v>
      </c>
      <c r="CE17" s="30" t="s">
        <v>18</v>
      </c>
      <c r="CF17" s="29" t="s">
        <v>19</v>
      </c>
      <c r="CG17" s="29" t="s">
        <v>20</v>
      </c>
      <c r="CH17" s="225"/>
      <c r="CI17" s="230"/>
      <c r="CJ17" s="232"/>
    </row>
    <row r="18" spans="1:88" x14ac:dyDescent="0.25">
      <c r="A18" s="31" t="s">
        <v>30</v>
      </c>
      <c r="B18" s="115" t="s">
        <v>18</v>
      </c>
      <c r="C18" s="115" t="s">
        <v>18</v>
      </c>
      <c r="D18" s="43" t="s">
        <v>20</v>
      </c>
      <c r="E18" s="43" t="s">
        <v>20</v>
      </c>
      <c r="F18" s="36">
        <v>0</v>
      </c>
      <c r="G18" s="37">
        <v>0</v>
      </c>
      <c r="H18" s="37">
        <v>0</v>
      </c>
      <c r="I18" s="37">
        <v>0</v>
      </c>
      <c r="J18" s="37">
        <v>0</v>
      </c>
      <c r="K18" s="38">
        <v>2</v>
      </c>
      <c r="L18" s="38">
        <v>0</v>
      </c>
      <c r="M18" s="39">
        <v>2</v>
      </c>
      <c r="N18" s="40">
        <v>24</v>
      </c>
      <c r="O18" s="33" t="s">
        <v>18</v>
      </c>
      <c r="P18" s="33" t="s">
        <v>18</v>
      </c>
      <c r="Q18" s="57" t="s">
        <v>20</v>
      </c>
      <c r="R18" s="57" t="s">
        <v>20</v>
      </c>
      <c r="S18" s="57" t="s">
        <v>20</v>
      </c>
      <c r="T18" s="64" t="s">
        <v>18</v>
      </c>
      <c r="U18" s="64" t="s">
        <v>18</v>
      </c>
      <c r="V18" s="36">
        <v>0</v>
      </c>
      <c r="W18" s="37">
        <v>0</v>
      </c>
      <c r="X18" s="37">
        <v>0</v>
      </c>
      <c r="Y18" s="37">
        <v>0</v>
      </c>
      <c r="Z18" s="37">
        <v>0</v>
      </c>
      <c r="AA18" s="38">
        <v>4</v>
      </c>
      <c r="AB18" s="38">
        <v>0</v>
      </c>
      <c r="AC18" s="39">
        <v>3</v>
      </c>
      <c r="AD18" s="40">
        <v>48</v>
      </c>
      <c r="AE18" s="66" t="s">
        <v>20</v>
      </c>
      <c r="AF18" s="67" t="s">
        <v>20</v>
      </c>
      <c r="AG18" s="33" t="s">
        <v>18</v>
      </c>
      <c r="AH18" s="33" t="s">
        <v>18</v>
      </c>
      <c r="AI18" s="33" t="s">
        <v>18</v>
      </c>
      <c r="AJ18" s="43" t="s">
        <v>20</v>
      </c>
      <c r="AK18" s="44" t="s">
        <v>20</v>
      </c>
      <c r="AL18" s="36">
        <v>0</v>
      </c>
      <c r="AM18" s="37">
        <v>0</v>
      </c>
      <c r="AN18" s="37">
        <v>0</v>
      </c>
      <c r="AO18" s="37">
        <v>0</v>
      </c>
      <c r="AP18" s="37">
        <v>0</v>
      </c>
      <c r="AQ18" s="38">
        <v>3</v>
      </c>
      <c r="AR18" s="38">
        <v>0</v>
      </c>
      <c r="AS18" s="39">
        <v>4</v>
      </c>
      <c r="AT18" s="40">
        <f>(10*AL18)+(8*AM18)+(9*AN18)+(12*AO18)+(11*AP18)+(12*AQ18)+(9*AR18)</f>
        <v>36</v>
      </c>
      <c r="AU18" s="58" t="s">
        <v>18</v>
      </c>
      <c r="AV18" s="59" t="s">
        <v>18</v>
      </c>
      <c r="AW18" s="57" t="s">
        <v>20</v>
      </c>
      <c r="AX18" s="57" t="s">
        <v>20</v>
      </c>
      <c r="AY18" s="57" t="s">
        <v>20</v>
      </c>
      <c r="AZ18" s="68" t="s">
        <v>18</v>
      </c>
      <c r="BA18" s="68" t="s">
        <v>18</v>
      </c>
      <c r="BB18" s="36">
        <v>0</v>
      </c>
      <c r="BC18" s="37">
        <v>0</v>
      </c>
      <c r="BD18" s="37">
        <v>0</v>
      </c>
      <c r="BE18" s="37">
        <v>0</v>
      </c>
      <c r="BF18" s="37">
        <v>0</v>
      </c>
      <c r="BG18" s="38">
        <v>4</v>
      </c>
      <c r="BH18" s="38">
        <v>0</v>
      </c>
      <c r="BI18" s="39">
        <v>3</v>
      </c>
      <c r="BJ18" s="61">
        <f>(10*BB18)+(8*BC18)+(9*BD18)+(12*BE18)+(11*BF18)+(12*BG18)+(9*BH18)</f>
        <v>48</v>
      </c>
      <c r="BK18" s="69" t="s">
        <v>20</v>
      </c>
      <c r="BL18" s="69" t="s">
        <v>20</v>
      </c>
      <c r="BM18" s="63" t="s">
        <v>18</v>
      </c>
      <c r="BN18" s="63" t="s">
        <v>18</v>
      </c>
      <c r="BO18" s="63" t="s">
        <v>18</v>
      </c>
      <c r="BP18" s="110" t="s">
        <v>20</v>
      </c>
      <c r="BQ18" s="36">
        <v>0</v>
      </c>
      <c r="BR18" s="37">
        <v>0</v>
      </c>
      <c r="BS18" s="37">
        <v>0</v>
      </c>
      <c r="BT18" s="37">
        <v>0</v>
      </c>
      <c r="BU18" s="37">
        <v>0</v>
      </c>
      <c r="BV18" s="38">
        <v>3</v>
      </c>
      <c r="BW18" s="38">
        <v>0</v>
      </c>
      <c r="BX18" s="39">
        <v>3</v>
      </c>
      <c r="BY18" s="40">
        <f t="shared" ref="BY18" si="9">(10*BQ18)+(8*BR18)+(9*BS18)+(12*BT18)+(11*BU18)+(12*BV18)+(9*BW18)</f>
        <v>36</v>
      </c>
      <c r="BZ18" s="49">
        <f t="shared" ref="BZ18:CG21" si="10">SUM(F18,V18,AL18,BB18,BQ18)</f>
        <v>0</v>
      </c>
      <c r="CA18" s="49">
        <f t="shared" si="10"/>
        <v>0</v>
      </c>
      <c r="CB18" s="49">
        <f t="shared" si="10"/>
        <v>0</v>
      </c>
      <c r="CC18" s="49">
        <f t="shared" si="10"/>
        <v>0</v>
      </c>
      <c r="CD18" s="49">
        <f t="shared" si="10"/>
        <v>0</v>
      </c>
      <c r="CE18" s="49">
        <f t="shared" si="10"/>
        <v>16</v>
      </c>
      <c r="CF18" s="49">
        <f t="shared" si="10"/>
        <v>0</v>
      </c>
      <c r="CG18" s="49">
        <f t="shared" si="10"/>
        <v>15</v>
      </c>
      <c r="CH18" s="50">
        <f t="shared" ref="CH18" si="11">SUM(BZ18:CF18)</f>
        <v>16</v>
      </c>
      <c r="CI18" s="51">
        <f>SUM(N18,AD18,AT18,BJ18,BY18)</f>
        <v>192</v>
      </c>
      <c r="CJ18" s="52">
        <f t="shared" ref="CJ18" si="12">CI18-180</f>
        <v>12</v>
      </c>
    </row>
    <row r="19" spans="1:88" x14ac:dyDescent="0.25">
      <c r="A19" s="31" t="s">
        <v>31</v>
      </c>
      <c r="B19" s="57" t="s">
        <v>20</v>
      </c>
      <c r="C19" s="57" t="s">
        <v>20</v>
      </c>
      <c r="D19" s="64" t="s">
        <v>18</v>
      </c>
      <c r="E19" s="64" t="s">
        <v>18</v>
      </c>
      <c r="F19" s="36">
        <v>0</v>
      </c>
      <c r="G19" s="37">
        <v>0</v>
      </c>
      <c r="H19" s="37">
        <v>0</v>
      </c>
      <c r="I19" s="37">
        <v>0</v>
      </c>
      <c r="J19" s="37">
        <v>0</v>
      </c>
      <c r="K19" s="38">
        <v>2</v>
      </c>
      <c r="L19" s="38">
        <v>0</v>
      </c>
      <c r="M19" s="39">
        <v>2</v>
      </c>
      <c r="N19" s="40">
        <v>24</v>
      </c>
      <c r="O19" s="57" t="s">
        <v>41</v>
      </c>
      <c r="P19" s="57" t="s">
        <v>41</v>
      </c>
      <c r="Q19" s="57" t="s">
        <v>41</v>
      </c>
      <c r="R19" s="57" t="s">
        <v>41</v>
      </c>
      <c r="S19" s="57" t="s">
        <v>41</v>
      </c>
      <c r="T19" s="43" t="s">
        <v>20</v>
      </c>
      <c r="U19" s="43" t="s">
        <v>20</v>
      </c>
      <c r="V19" s="36">
        <v>0</v>
      </c>
      <c r="W19" s="37">
        <v>0</v>
      </c>
      <c r="X19" s="37">
        <v>0</v>
      </c>
      <c r="Y19" s="37">
        <v>0</v>
      </c>
      <c r="Z19" s="37">
        <v>0</v>
      </c>
      <c r="AA19" s="38">
        <v>0</v>
      </c>
      <c r="AB19" s="38">
        <v>0</v>
      </c>
      <c r="AC19" s="39">
        <v>2</v>
      </c>
      <c r="AD19" s="40">
        <v>0</v>
      </c>
      <c r="AE19" s="66" t="s">
        <v>41</v>
      </c>
      <c r="AF19" s="67" t="s">
        <v>41</v>
      </c>
      <c r="AG19" s="57" t="s">
        <v>41</v>
      </c>
      <c r="AH19" s="57" t="s">
        <v>41</v>
      </c>
      <c r="AI19" s="57" t="s">
        <v>41</v>
      </c>
      <c r="AJ19" s="43" t="s">
        <v>20</v>
      </c>
      <c r="AK19" s="43" t="s">
        <v>20</v>
      </c>
      <c r="AL19" s="36">
        <v>0</v>
      </c>
      <c r="AM19" s="37">
        <v>0</v>
      </c>
      <c r="AN19" s="37">
        <v>0</v>
      </c>
      <c r="AO19" s="37">
        <v>0</v>
      </c>
      <c r="AP19" s="37">
        <v>0</v>
      </c>
      <c r="AQ19" s="38">
        <v>0</v>
      </c>
      <c r="AR19" s="38">
        <v>0</v>
      </c>
      <c r="AS19" s="39">
        <v>2</v>
      </c>
      <c r="AT19" s="40">
        <f t="shared" ref="AT19:AT20" si="13">(10*AL19)+(8*AM19)+(9*AN19)+(12*AO19)+(11*AP19)+(12*AQ19)+(9*AR19)</f>
        <v>0</v>
      </c>
      <c r="AU19" s="66" t="s">
        <v>41</v>
      </c>
      <c r="AV19" s="57" t="s">
        <v>41</v>
      </c>
      <c r="AW19" s="57" t="s">
        <v>41</v>
      </c>
      <c r="AX19" s="57" t="s">
        <v>41</v>
      </c>
      <c r="AY19" s="57" t="s">
        <v>41</v>
      </c>
      <c r="AZ19" s="43" t="s">
        <v>20</v>
      </c>
      <c r="BA19" s="60" t="s">
        <v>20</v>
      </c>
      <c r="BB19" s="36">
        <v>0</v>
      </c>
      <c r="BC19" s="37">
        <v>0</v>
      </c>
      <c r="BD19" s="37">
        <v>0</v>
      </c>
      <c r="BE19" s="37">
        <v>0</v>
      </c>
      <c r="BF19" s="37">
        <v>0</v>
      </c>
      <c r="BG19" s="38">
        <v>0</v>
      </c>
      <c r="BH19" s="38">
        <v>0</v>
      </c>
      <c r="BI19" s="39">
        <v>2</v>
      </c>
      <c r="BJ19" s="40">
        <f t="shared" ref="BJ19:BJ20" si="14">(10*BB19)+(8*BC19)+(9*BD19)+(12*BE19)+(11*BF19)+(12*BG19)+(9*BH19)</f>
        <v>0</v>
      </c>
      <c r="BK19" s="80" t="s">
        <v>41</v>
      </c>
      <c r="BL19" s="80" t="s">
        <v>41</v>
      </c>
      <c r="BM19" s="80" t="s">
        <v>41</v>
      </c>
      <c r="BN19" s="80" t="s">
        <v>41</v>
      </c>
      <c r="BO19" s="80" t="s">
        <v>41</v>
      </c>
      <c r="BP19" s="114" t="s">
        <v>20</v>
      </c>
      <c r="BQ19" s="36">
        <v>0</v>
      </c>
      <c r="BR19" s="37">
        <v>0</v>
      </c>
      <c r="BS19" s="37">
        <v>0</v>
      </c>
      <c r="BT19" s="37">
        <v>0</v>
      </c>
      <c r="BU19" s="37">
        <v>0</v>
      </c>
      <c r="BV19" s="38">
        <v>0</v>
      </c>
      <c r="BW19" s="38">
        <v>0</v>
      </c>
      <c r="BX19" s="39">
        <v>2</v>
      </c>
      <c r="BY19" s="40">
        <f>(10*BQ19)+(8*BR19)+(9*BS19)+(12*BT19)+(11*BU19)+(12*BV19)+(9*BW19)</f>
        <v>0</v>
      </c>
      <c r="BZ19" s="49">
        <f t="shared" si="10"/>
        <v>0</v>
      </c>
      <c r="CA19" s="49">
        <f t="shared" si="10"/>
        <v>0</v>
      </c>
      <c r="CB19" s="49">
        <f t="shared" si="10"/>
        <v>0</v>
      </c>
      <c r="CC19" s="49">
        <f t="shared" si="10"/>
        <v>0</v>
      </c>
      <c r="CD19" s="49">
        <f t="shared" si="10"/>
        <v>0</v>
      </c>
      <c r="CE19" s="49">
        <f t="shared" si="10"/>
        <v>2</v>
      </c>
      <c r="CF19" s="49">
        <f t="shared" si="10"/>
        <v>0</v>
      </c>
      <c r="CG19" s="49">
        <f t="shared" si="10"/>
        <v>10</v>
      </c>
      <c r="CH19" s="50">
        <f>SUM(BZ19:CF19)</f>
        <v>2</v>
      </c>
      <c r="CI19" s="51">
        <f>SUM(N19,AD19,AT19,BJ19,BY19)</f>
        <v>24</v>
      </c>
      <c r="CJ19" s="52">
        <f>CI19-180</f>
        <v>-156</v>
      </c>
    </row>
    <row r="20" spans="1:88" x14ac:dyDescent="0.25">
      <c r="A20" s="99" t="s">
        <v>32</v>
      </c>
      <c r="B20" s="57" t="s">
        <v>20</v>
      </c>
      <c r="C20" s="57" t="s">
        <v>20</v>
      </c>
      <c r="D20" s="64" t="s">
        <v>18</v>
      </c>
      <c r="E20" s="64" t="s">
        <v>18</v>
      </c>
      <c r="F20" s="36">
        <v>0</v>
      </c>
      <c r="G20" s="37">
        <v>0</v>
      </c>
      <c r="H20" s="37">
        <v>0</v>
      </c>
      <c r="I20" s="37">
        <v>0</v>
      </c>
      <c r="J20" s="117">
        <v>0</v>
      </c>
      <c r="K20" s="38">
        <v>2</v>
      </c>
      <c r="L20" s="38">
        <v>0</v>
      </c>
      <c r="M20" s="39">
        <v>2</v>
      </c>
      <c r="N20" s="40">
        <v>24</v>
      </c>
      <c r="O20" s="57" t="s">
        <v>20</v>
      </c>
      <c r="P20" s="57" t="s">
        <v>20</v>
      </c>
      <c r="Q20" s="33" t="s">
        <v>18</v>
      </c>
      <c r="R20" s="33" t="s">
        <v>18</v>
      </c>
      <c r="S20" s="33" t="s">
        <v>18</v>
      </c>
      <c r="T20" s="43" t="s">
        <v>20</v>
      </c>
      <c r="U20" s="43" t="s">
        <v>20</v>
      </c>
      <c r="V20" s="36">
        <v>0</v>
      </c>
      <c r="W20" s="37">
        <v>0</v>
      </c>
      <c r="X20" s="37">
        <v>0</v>
      </c>
      <c r="Y20" s="37">
        <v>0</v>
      </c>
      <c r="Z20" s="37">
        <v>0</v>
      </c>
      <c r="AA20" s="38">
        <v>3</v>
      </c>
      <c r="AB20" s="38">
        <v>0</v>
      </c>
      <c r="AC20" s="39">
        <v>4</v>
      </c>
      <c r="AD20" s="40">
        <v>36</v>
      </c>
      <c r="AE20" s="58" t="s">
        <v>18</v>
      </c>
      <c r="AF20" s="59" t="s">
        <v>18</v>
      </c>
      <c r="AG20" s="57" t="s">
        <v>20</v>
      </c>
      <c r="AH20" s="57" t="s">
        <v>20</v>
      </c>
      <c r="AI20" s="57" t="s">
        <v>20</v>
      </c>
      <c r="AJ20" s="64" t="s">
        <v>18</v>
      </c>
      <c r="AK20" s="64" t="s">
        <v>18</v>
      </c>
      <c r="AL20" s="36">
        <v>0</v>
      </c>
      <c r="AM20" s="37">
        <v>0</v>
      </c>
      <c r="AN20" s="37">
        <v>0</v>
      </c>
      <c r="AO20" s="37">
        <v>0</v>
      </c>
      <c r="AP20" s="37">
        <v>0</v>
      </c>
      <c r="AQ20" s="38">
        <v>4</v>
      </c>
      <c r="AR20" s="38">
        <v>0</v>
      </c>
      <c r="AS20" s="39">
        <v>3</v>
      </c>
      <c r="AT20" s="40">
        <f t="shared" si="13"/>
        <v>48</v>
      </c>
      <c r="AU20" s="66" t="s">
        <v>20</v>
      </c>
      <c r="AV20" s="57" t="s">
        <v>20</v>
      </c>
      <c r="AW20" s="33" t="s">
        <v>18</v>
      </c>
      <c r="AX20" s="33" t="s">
        <v>18</v>
      </c>
      <c r="AY20" s="42" t="s">
        <v>18</v>
      </c>
      <c r="AZ20" s="43" t="s">
        <v>20</v>
      </c>
      <c r="BA20" s="60" t="s">
        <v>20</v>
      </c>
      <c r="BB20" s="36">
        <v>0</v>
      </c>
      <c r="BC20" s="37">
        <v>0</v>
      </c>
      <c r="BD20" s="37">
        <v>0</v>
      </c>
      <c r="BE20" s="37">
        <v>0</v>
      </c>
      <c r="BF20" s="37">
        <v>0</v>
      </c>
      <c r="BG20" s="38">
        <v>3</v>
      </c>
      <c r="BH20" s="38">
        <v>0</v>
      </c>
      <c r="BI20" s="39">
        <v>4</v>
      </c>
      <c r="BJ20" s="40">
        <f t="shared" si="14"/>
        <v>36</v>
      </c>
      <c r="BK20" s="72" t="s">
        <v>18</v>
      </c>
      <c r="BL20" s="72" t="s">
        <v>18</v>
      </c>
      <c r="BM20" s="80" t="s">
        <v>20</v>
      </c>
      <c r="BN20" s="80" t="s">
        <v>20</v>
      </c>
      <c r="BO20" s="80" t="s">
        <v>20</v>
      </c>
      <c r="BP20" s="114" t="s">
        <v>18</v>
      </c>
      <c r="BQ20" s="36">
        <v>0</v>
      </c>
      <c r="BR20" s="37">
        <v>0</v>
      </c>
      <c r="BS20" s="37">
        <v>0</v>
      </c>
      <c r="BT20" s="37">
        <v>0</v>
      </c>
      <c r="BU20" s="37">
        <v>0</v>
      </c>
      <c r="BV20" s="38">
        <v>3</v>
      </c>
      <c r="BW20" s="38">
        <v>0</v>
      </c>
      <c r="BX20" s="39">
        <v>3</v>
      </c>
      <c r="BY20" s="40">
        <f>(10*BQ20)+(8*BR20)+(9*BS20)+(12*BT20)+(11*BU20)+(12*BV20)+(9*BW20)</f>
        <v>36</v>
      </c>
      <c r="BZ20" s="49">
        <f t="shared" si="10"/>
        <v>0</v>
      </c>
      <c r="CA20" s="49">
        <f t="shared" si="10"/>
        <v>0</v>
      </c>
      <c r="CB20" s="49">
        <f t="shared" si="10"/>
        <v>0</v>
      </c>
      <c r="CC20" s="49">
        <f t="shared" si="10"/>
        <v>0</v>
      </c>
      <c r="CD20" s="49">
        <f t="shared" si="10"/>
        <v>0</v>
      </c>
      <c r="CE20" s="49">
        <f t="shared" si="10"/>
        <v>15</v>
      </c>
      <c r="CF20" s="49">
        <f t="shared" si="10"/>
        <v>0</v>
      </c>
      <c r="CG20" s="49">
        <f t="shared" si="10"/>
        <v>16</v>
      </c>
      <c r="CH20" s="50">
        <f>SUM(BZ20:CF20)</f>
        <v>15</v>
      </c>
      <c r="CI20" s="51">
        <f>SUM(N20,AD20,AT20,BJ20,BY20)</f>
        <v>180</v>
      </c>
      <c r="CJ20" s="52">
        <f>CI20-180</f>
        <v>0</v>
      </c>
    </row>
    <row r="21" spans="1:88" x14ac:dyDescent="0.25">
      <c r="A21" s="31" t="s">
        <v>33</v>
      </c>
      <c r="B21" s="115" t="s">
        <v>18</v>
      </c>
      <c r="C21" s="115" t="s">
        <v>18</v>
      </c>
      <c r="D21" s="43" t="s">
        <v>20</v>
      </c>
      <c r="E21" s="43" t="s">
        <v>20</v>
      </c>
      <c r="F21" s="36">
        <v>0</v>
      </c>
      <c r="G21" s="37">
        <v>0</v>
      </c>
      <c r="H21" s="37">
        <v>0</v>
      </c>
      <c r="I21" s="37">
        <v>0</v>
      </c>
      <c r="J21" s="37">
        <v>0</v>
      </c>
      <c r="K21" s="38">
        <v>2</v>
      </c>
      <c r="L21" s="38">
        <v>0</v>
      </c>
      <c r="M21" s="39">
        <v>2</v>
      </c>
      <c r="N21" s="40">
        <v>24</v>
      </c>
      <c r="O21" s="33" t="s">
        <v>18</v>
      </c>
      <c r="P21" s="33" t="s">
        <v>18</v>
      </c>
      <c r="Q21" s="57" t="s">
        <v>20</v>
      </c>
      <c r="R21" s="57" t="s">
        <v>20</v>
      </c>
      <c r="S21" s="57" t="s">
        <v>20</v>
      </c>
      <c r="T21" s="64" t="s">
        <v>18</v>
      </c>
      <c r="U21" s="64" t="s">
        <v>18</v>
      </c>
      <c r="V21" s="36">
        <v>0</v>
      </c>
      <c r="W21" s="37">
        <v>0</v>
      </c>
      <c r="X21" s="37">
        <v>0</v>
      </c>
      <c r="Y21" s="37">
        <v>0</v>
      </c>
      <c r="Z21" s="37">
        <v>0</v>
      </c>
      <c r="AA21" s="38">
        <v>4</v>
      </c>
      <c r="AB21" s="38">
        <v>0</v>
      </c>
      <c r="AC21" s="39">
        <v>3</v>
      </c>
      <c r="AD21" s="40">
        <v>48</v>
      </c>
      <c r="AE21" s="66" t="s">
        <v>20</v>
      </c>
      <c r="AF21" s="67" t="s">
        <v>20</v>
      </c>
      <c r="AG21" s="33" t="s">
        <v>18</v>
      </c>
      <c r="AH21" s="33" t="s">
        <v>18</v>
      </c>
      <c r="AI21" s="33" t="s">
        <v>18</v>
      </c>
      <c r="AJ21" s="43" t="s">
        <v>20</v>
      </c>
      <c r="AK21" s="44" t="s">
        <v>20</v>
      </c>
      <c r="AL21" s="36">
        <v>0</v>
      </c>
      <c r="AM21" s="37">
        <v>0</v>
      </c>
      <c r="AN21" s="37">
        <v>0</v>
      </c>
      <c r="AO21" s="37">
        <v>0</v>
      </c>
      <c r="AP21" s="37">
        <v>0</v>
      </c>
      <c r="AQ21" s="38">
        <v>3</v>
      </c>
      <c r="AR21" s="38">
        <v>0</v>
      </c>
      <c r="AS21" s="39">
        <v>4</v>
      </c>
      <c r="AT21" s="40">
        <f>(10*AL21)+(8*AM21)+(9*AN21)+(12*AO21)+(11*AP21)+(12*AQ21)+(9*AR21)</f>
        <v>36</v>
      </c>
      <c r="AU21" s="58" t="s">
        <v>18</v>
      </c>
      <c r="AV21" s="59" t="s">
        <v>18</v>
      </c>
      <c r="AW21" s="57" t="s">
        <v>20</v>
      </c>
      <c r="AX21" s="57" t="s">
        <v>20</v>
      </c>
      <c r="AY21" s="57" t="s">
        <v>20</v>
      </c>
      <c r="AZ21" s="68" t="s">
        <v>18</v>
      </c>
      <c r="BA21" s="68" t="s">
        <v>18</v>
      </c>
      <c r="BB21" s="36">
        <v>0</v>
      </c>
      <c r="BC21" s="37">
        <v>0</v>
      </c>
      <c r="BD21" s="37">
        <v>0</v>
      </c>
      <c r="BE21" s="37">
        <v>0</v>
      </c>
      <c r="BF21" s="37">
        <v>0</v>
      </c>
      <c r="BG21" s="38">
        <v>4</v>
      </c>
      <c r="BH21" s="38">
        <v>0</v>
      </c>
      <c r="BI21" s="39">
        <v>3</v>
      </c>
      <c r="BJ21" s="61">
        <f>(10*BB21)+(8*BC21)+(9*BD21)+(12*BE21)+(11*BF21)+(12*BG21)+(9*BH21)</f>
        <v>48</v>
      </c>
      <c r="BK21" s="69" t="s">
        <v>20</v>
      </c>
      <c r="BL21" s="69" t="s">
        <v>20</v>
      </c>
      <c r="BM21" s="63" t="s">
        <v>18</v>
      </c>
      <c r="BN21" s="63" t="s">
        <v>18</v>
      </c>
      <c r="BO21" s="63" t="s">
        <v>18</v>
      </c>
      <c r="BP21" s="110" t="s">
        <v>20</v>
      </c>
      <c r="BQ21" s="36">
        <v>0</v>
      </c>
      <c r="BR21" s="37">
        <v>0</v>
      </c>
      <c r="BS21" s="37">
        <v>0</v>
      </c>
      <c r="BT21" s="37">
        <v>0</v>
      </c>
      <c r="BU21" s="37">
        <v>0</v>
      </c>
      <c r="BV21" s="38">
        <v>3</v>
      </c>
      <c r="BW21" s="38">
        <v>0</v>
      </c>
      <c r="BX21" s="39">
        <v>3</v>
      </c>
      <c r="BY21" s="40">
        <f t="shared" ref="BY21" si="15">(10*BQ21)+(8*BR21)+(9*BS21)+(12*BT21)+(11*BU21)+(12*BV21)+(9*BW21)</f>
        <v>36</v>
      </c>
      <c r="BZ21" s="49">
        <f t="shared" si="10"/>
        <v>0</v>
      </c>
      <c r="CA21" s="49">
        <f t="shared" si="10"/>
        <v>0</v>
      </c>
      <c r="CB21" s="49">
        <f t="shared" si="10"/>
        <v>0</v>
      </c>
      <c r="CC21" s="49">
        <f t="shared" si="10"/>
        <v>0</v>
      </c>
      <c r="CD21" s="49">
        <f t="shared" si="10"/>
        <v>0</v>
      </c>
      <c r="CE21" s="49">
        <f t="shared" si="10"/>
        <v>16</v>
      </c>
      <c r="CF21" s="49">
        <f t="shared" si="10"/>
        <v>0</v>
      </c>
      <c r="CG21" s="49">
        <f t="shared" si="10"/>
        <v>15</v>
      </c>
      <c r="CH21" s="50">
        <f t="shared" ref="CH21" si="16">SUM(BZ21:CF21)</f>
        <v>16</v>
      </c>
      <c r="CI21" s="51">
        <f>SUM(N21,AD21,AT21,BJ21,BY21)</f>
        <v>192</v>
      </c>
      <c r="CJ21" s="52">
        <f t="shared" ref="CJ21" si="17">CI21-180</f>
        <v>12</v>
      </c>
    </row>
    <row r="22" spans="1:88" x14ac:dyDescent="0.25">
      <c r="A22" s="89"/>
      <c r="B22" s="89"/>
      <c r="C22" s="85"/>
      <c r="D22" s="85"/>
      <c r="E22" s="87"/>
      <c r="F22" s="87"/>
      <c r="G22" s="87"/>
      <c r="H22" s="87"/>
      <c r="I22" s="87"/>
      <c r="J22" s="87"/>
      <c r="K22" s="87"/>
      <c r="L22" s="87"/>
      <c r="M22" s="87"/>
      <c r="N22" s="100"/>
      <c r="O22" s="100"/>
      <c r="P22" s="85"/>
      <c r="Q22" s="85"/>
      <c r="R22" s="85"/>
      <c r="S22" s="100"/>
      <c r="T22" s="100"/>
      <c r="U22" s="87"/>
      <c r="V22" s="87"/>
      <c r="W22" s="87"/>
      <c r="X22" s="87"/>
      <c r="Y22" s="87"/>
      <c r="Z22" s="87"/>
      <c r="AA22" s="87"/>
      <c r="AB22" s="87"/>
      <c r="AC22" s="87"/>
      <c r="AD22" s="85"/>
      <c r="AE22" s="100"/>
      <c r="AF22" s="85"/>
      <c r="AG22" s="100"/>
      <c r="AH22" s="100"/>
      <c r="AI22" s="85"/>
      <c r="AJ22" s="85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5"/>
      <c r="AV22" s="100"/>
      <c r="AW22" s="85"/>
      <c r="AX22" s="85"/>
      <c r="AY22" s="85"/>
      <c r="AZ22" s="85"/>
      <c r="BA22" s="85"/>
      <c r="BB22" s="85"/>
      <c r="BC22" s="100"/>
      <c r="BD22" s="100"/>
      <c r="BE22" s="87"/>
      <c r="BF22" s="87"/>
      <c r="BG22" s="87"/>
      <c r="BH22" s="87"/>
      <c r="BI22" s="87"/>
      <c r="BJ22" s="100"/>
      <c r="BK22" s="100"/>
      <c r="BL22" s="100"/>
      <c r="BM22" s="100"/>
      <c r="BN22" s="100"/>
      <c r="BO22" s="100"/>
      <c r="BP22" s="100"/>
    </row>
    <row r="23" spans="1:88" x14ac:dyDescent="0.25">
      <c r="C23" s="85"/>
      <c r="D23" s="85"/>
      <c r="E23" s="87"/>
      <c r="F23" s="87"/>
      <c r="G23" s="87"/>
      <c r="H23" s="87"/>
      <c r="I23" s="87"/>
      <c r="J23" s="87"/>
      <c r="K23" s="87"/>
      <c r="L23" s="87"/>
      <c r="M23" s="87"/>
      <c r="N23" s="100"/>
      <c r="O23" s="100"/>
      <c r="P23" s="85"/>
      <c r="Q23" s="85"/>
      <c r="R23" s="85"/>
      <c r="S23" s="100"/>
      <c r="T23" s="100"/>
      <c r="U23" s="87"/>
      <c r="V23" s="87"/>
      <c r="W23" s="87"/>
      <c r="X23" s="87"/>
      <c r="Y23" s="87"/>
      <c r="Z23" s="87"/>
      <c r="AA23" s="87"/>
      <c r="AB23" s="87"/>
      <c r="AC23" s="87"/>
      <c r="AD23" s="85"/>
      <c r="AE23" s="100"/>
      <c r="AF23" s="85"/>
      <c r="AG23" s="100"/>
      <c r="AH23" s="100"/>
      <c r="AI23" s="85"/>
      <c r="AJ23" s="85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5"/>
      <c r="AV23" s="100"/>
      <c r="AW23" s="85"/>
      <c r="AX23" s="85"/>
      <c r="AY23" s="85"/>
      <c r="AZ23" s="85"/>
      <c r="BA23" s="85"/>
      <c r="BB23" s="85"/>
      <c r="BC23" s="100"/>
      <c r="BD23" s="100"/>
      <c r="BE23" s="87"/>
      <c r="BF23" s="87"/>
      <c r="BG23" s="87"/>
      <c r="BH23" s="87"/>
      <c r="BI23" s="87"/>
      <c r="BJ23" s="100"/>
      <c r="BK23" s="100"/>
      <c r="BL23" s="100"/>
      <c r="BM23" s="100"/>
      <c r="BN23" s="100"/>
      <c r="BO23" s="100"/>
      <c r="BP23" s="100"/>
    </row>
    <row r="24" spans="1:88" x14ac:dyDescent="0.25">
      <c r="C24" s="85"/>
      <c r="D24" s="85"/>
      <c r="E24" s="87"/>
      <c r="F24" s="87"/>
      <c r="G24" s="87"/>
      <c r="H24" s="87"/>
      <c r="I24" s="87"/>
      <c r="J24" s="87"/>
      <c r="K24" s="87"/>
      <c r="L24" s="87"/>
      <c r="M24" s="87"/>
      <c r="N24" s="100"/>
      <c r="O24" s="100"/>
      <c r="P24" s="85"/>
      <c r="Q24" s="85"/>
      <c r="R24" s="85"/>
      <c r="S24" s="100"/>
      <c r="T24" s="100"/>
      <c r="U24" s="87"/>
      <c r="V24" s="87"/>
      <c r="W24" s="87"/>
      <c r="X24" s="87"/>
      <c r="Y24" s="87"/>
      <c r="Z24" s="87"/>
      <c r="AA24" s="87"/>
      <c r="AB24" s="87"/>
      <c r="AC24" s="87"/>
      <c r="AD24" s="85"/>
      <c r="AE24" s="100"/>
      <c r="AF24" s="85"/>
      <c r="AG24" s="100"/>
      <c r="AH24" s="100"/>
      <c r="AI24" s="85"/>
      <c r="AJ24" s="85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5"/>
      <c r="AV24" s="100"/>
      <c r="AW24" s="85"/>
      <c r="AX24" s="85"/>
      <c r="AY24" s="85"/>
      <c r="AZ24" s="85"/>
      <c r="BA24" s="85"/>
      <c r="BB24" s="85"/>
      <c r="BC24" s="100"/>
      <c r="BD24" s="100"/>
      <c r="BE24" s="87"/>
      <c r="BF24" s="87"/>
      <c r="BG24" s="87"/>
      <c r="BH24" s="87"/>
      <c r="BI24" s="87"/>
      <c r="BJ24" s="100"/>
      <c r="BK24" s="100"/>
      <c r="BL24" s="100"/>
      <c r="BM24" s="100"/>
      <c r="BN24" s="100"/>
      <c r="BO24" s="100"/>
      <c r="BP24" s="100"/>
    </row>
    <row r="25" spans="1:88" x14ac:dyDescent="0.25">
      <c r="A25" s="118" t="s">
        <v>45</v>
      </c>
      <c r="B25" s="116" t="s">
        <v>20</v>
      </c>
      <c r="C25" s="53" t="s">
        <v>15</v>
      </c>
      <c r="D25" s="43" t="s">
        <v>20</v>
      </c>
      <c r="E25" s="44" t="s">
        <v>20</v>
      </c>
      <c r="F25" s="37">
        <v>0</v>
      </c>
      <c r="G25" s="37">
        <v>0</v>
      </c>
      <c r="H25" s="37">
        <v>1</v>
      </c>
      <c r="I25" s="37">
        <v>0</v>
      </c>
      <c r="J25" s="37">
        <v>0</v>
      </c>
      <c r="K25" s="37">
        <v>0</v>
      </c>
      <c r="L25" s="37">
        <v>0</v>
      </c>
      <c r="M25" s="37">
        <v>3</v>
      </c>
      <c r="N25" s="40">
        <v>9</v>
      </c>
      <c r="O25" s="55" t="s">
        <v>15</v>
      </c>
      <c r="P25" s="53" t="s">
        <v>15</v>
      </c>
      <c r="Q25" s="53" t="s">
        <v>15</v>
      </c>
      <c r="R25" s="53" t="s">
        <v>15</v>
      </c>
      <c r="S25" s="53" t="s">
        <v>15</v>
      </c>
      <c r="T25" s="43" t="s">
        <v>20</v>
      </c>
      <c r="U25" s="44" t="s">
        <v>20</v>
      </c>
      <c r="V25" s="36">
        <v>0</v>
      </c>
      <c r="W25" s="37">
        <v>0</v>
      </c>
      <c r="X25" s="37">
        <v>5</v>
      </c>
      <c r="Y25" s="37">
        <v>0</v>
      </c>
      <c r="Z25" s="37">
        <v>0</v>
      </c>
      <c r="AA25" s="38">
        <v>0</v>
      </c>
      <c r="AB25" s="38">
        <v>0</v>
      </c>
      <c r="AC25" s="39">
        <v>2</v>
      </c>
      <c r="AD25" s="40">
        <v>45</v>
      </c>
      <c r="AE25" s="41" t="s">
        <v>15</v>
      </c>
      <c r="AF25" s="42" t="s">
        <v>15</v>
      </c>
      <c r="AG25" s="42" t="s">
        <v>15</v>
      </c>
      <c r="AH25" s="56" t="s">
        <v>15</v>
      </c>
      <c r="AI25" s="101" t="s">
        <v>15</v>
      </c>
      <c r="AJ25" s="43" t="s">
        <v>20</v>
      </c>
      <c r="AK25" s="44" t="s">
        <v>20</v>
      </c>
      <c r="AL25" s="36">
        <v>0</v>
      </c>
      <c r="AM25" s="37">
        <v>0</v>
      </c>
      <c r="AN25" s="37">
        <v>5</v>
      </c>
      <c r="AO25" s="37">
        <v>0</v>
      </c>
      <c r="AP25" s="37">
        <v>0</v>
      </c>
      <c r="AQ25" s="38">
        <v>0</v>
      </c>
      <c r="AR25" s="38">
        <v>0</v>
      </c>
      <c r="AS25" s="39">
        <v>2</v>
      </c>
      <c r="AT25" s="40">
        <v>45</v>
      </c>
      <c r="AU25" s="41" t="s">
        <v>15</v>
      </c>
      <c r="AV25" s="42" t="s">
        <v>15</v>
      </c>
      <c r="AW25" s="42" t="s">
        <v>15</v>
      </c>
      <c r="AX25" s="33" t="s">
        <v>15</v>
      </c>
      <c r="AY25" s="33" t="s">
        <v>15</v>
      </c>
      <c r="AZ25" s="43" t="s">
        <v>20</v>
      </c>
      <c r="BA25" s="60" t="s">
        <v>20</v>
      </c>
      <c r="BB25" s="36">
        <v>0</v>
      </c>
      <c r="BC25" s="37">
        <v>0</v>
      </c>
      <c r="BD25" s="37">
        <v>5</v>
      </c>
      <c r="BE25" s="37">
        <v>0</v>
      </c>
      <c r="BF25" s="37">
        <v>0</v>
      </c>
      <c r="BG25" s="38">
        <v>0</v>
      </c>
      <c r="BH25" s="38">
        <v>0</v>
      </c>
      <c r="BI25" s="39">
        <v>0</v>
      </c>
      <c r="BJ25" s="40">
        <v>45</v>
      </c>
      <c r="BK25" s="102" t="s">
        <v>15</v>
      </c>
      <c r="BL25" s="70" t="s">
        <v>15</v>
      </c>
      <c r="BM25" s="70" t="s">
        <v>15</v>
      </c>
      <c r="BN25" s="70" t="s">
        <v>15</v>
      </c>
      <c r="BO25" s="70" t="s">
        <v>15</v>
      </c>
      <c r="BP25" s="77" t="s">
        <v>20</v>
      </c>
      <c r="BQ25" s="36">
        <v>0</v>
      </c>
      <c r="BR25" s="37">
        <v>0</v>
      </c>
      <c r="BS25" s="37">
        <v>5</v>
      </c>
      <c r="BT25" s="37">
        <v>0</v>
      </c>
      <c r="BU25" s="37">
        <v>0</v>
      </c>
      <c r="BV25" s="38">
        <v>0</v>
      </c>
      <c r="BW25" s="38">
        <v>0</v>
      </c>
      <c r="BX25" s="39">
        <v>1</v>
      </c>
      <c r="BY25" s="40">
        <v>45</v>
      </c>
      <c r="BZ25" s="49">
        <v>0</v>
      </c>
      <c r="CA25" s="49">
        <v>0</v>
      </c>
      <c r="CB25" s="49">
        <v>21</v>
      </c>
      <c r="CC25" s="49">
        <v>0</v>
      </c>
      <c r="CD25" s="49">
        <v>0</v>
      </c>
      <c r="CE25" s="49">
        <v>0</v>
      </c>
      <c r="CF25" s="49">
        <v>0</v>
      </c>
      <c r="CG25" s="49">
        <v>10</v>
      </c>
      <c r="CH25" s="50">
        <v>21</v>
      </c>
      <c r="CI25" s="51">
        <v>192</v>
      </c>
      <c r="CJ25" s="52">
        <v>12</v>
      </c>
    </row>
    <row r="26" spans="1:88" x14ac:dyDescent="0.25">
      <c r="A26" s="118" t="s">
        <v>34</v>
      </c>
      <c r="B26" s="116" t="s">
        <v>20</v>
      </c>
      <c r="C26" s="53" t="s">
        <v>15</v>
      </c>
      <c r="D26" s="43" t="s">
        <v>20</v>
      </c>
      <c r="E26" s="44" t="s">
        <v>20</v>
      </c>
      <c r="F26" s="37">
        <v>0</v>
      </c>
      <c r="G26" s="37">
        <v>0</v>
      </c>
      <c r="H26" s="37">
        <v>1</v>
      </c>
      <c r="I26" s="37">
        <v>0</v>
      </c>
      <c r="J26" s="37">
        <v>0</v>
      </c>
      <c r="K26" s="37">
        <v>0</v>
      </c>
      <c r="L26" s="37">
        <v>0</v>
      </c>
      <c r="M26" s="37">
        <v>3</v>
      </c>
      <c r="N26" s="40">
        <v>9</v>
      </c>
      <c r="O26" s="55" t="s">
        <v>15</v>
      </c>
      <c r="P26" s="53" t="s">
        <v>15</v>
      </c>
      <c r="Q26" s="53" t="s">
        <v>15</v>
      </c>
      <c r="R26" s="53" t="s">
        <v>15</v>
      </c>
      <c r="S26" s="53" t="s">
        <v>15</v>
      </c>
      <c r="T26" s="43" t="s">
        <v>20</v>
      </c>
      <c r="U26" s="44" t="s">
        <v>20</v>
      </c>
      <c r="V26" s="36">
        <v>0</v>
      </c>
      <c r="W26" s="37">
        <v>0</v>
      </c>
      <c r="X26" s="37">
        <v>5</v>
      </c>
      <c r="Y26" s="37">
        <v>0</v>
      </c>
      <c r="Z26" s="37">
        <v>0</v>
      </c>
      <c r="AA26" s="38">
        <v>0</v>
      </c>
      <c r="AB26" s="38">
        <v>0</v>
      </c>
      <c r="AC26" s="39">
        <v>2</v>
      </c>
      <c r="AD26" s="40">
        <v>45</v>
      </c>
      <c r="AE26" s="41" t="s">
        <v>15</v>
      </c>
      <c r="AF26" s="42" t="s">
        <v>15</v>
      </c>
      <c r="AG26" s="42" t="s">
        <v>15</v>
      </c>
      <c r="AH26" s="56" t="s">
        <v>15</v>
      </c>
      <c r="AI26" s="101" t="s">
        <v>15</v>
      </c>
      <c r="AJ26" s="43" t="s">
        <v>20</v>
      </c>
      <c r="AK26" s="44" t="s">
        <v>20</v>
      </c>
      <c r="AL26" s="36">
        <v>0</v>
      </c>
      <c r="AM26" s="37">
        <v>0</v>
      </c>
      <c r="AN26" s="37">
        <v>5</v>
      </c>
      <c r="AO26" s="37">
        <v>0</v>
      </c>
      <c r="AP26" s="37">
        <v>0</v>
      </c>
      <c r="AQ26" s="38">
        <v>0</v>
      </c>
      <c r="AR26" s="38">
        <v>0</v>
      </c>
      <c r="AS26" s="39">
        <v>2</v>
      </c>
      <c r="AT26" s="40">
        <v>45</v>
      </c>
      <c r="AU26" s="41" t="s">
        <v>15</v>
      </c>
      <c r="AV26" s="42" t="s">
        <v>15</v>
      </c>
      <c r="AW26" s="42" t="s">
        <v>15</v>
      </c>
      <c r="AX26" s="33" t="s">
        <v>15</v>
      </c>
      <c r="AY26" s="33" t="s">
        <v>15</v>
      </c>
      <c r="AZ26" s="43" t="s">
        <v>20</v>
      </c>
      <c r="BA26" s="60" t="s">
        <v>20</v>
      </c>
      <c r="BB26" s="36">
        <v>0</v>
      </c>
      <c r="BC26" s="37">
        <v>0</v>
      </c>
      <c r="BD26" s="37">
        <v>5</v>
      </c>
      <c r="BE26" s="37">
        <v>0</v>
      </c>
      <c r="BF26" s="37">
        <v>0</v>
      </c>
      <c r="BG26" s="38">
        <v>0</v>
      </c>
      <c r="BH26" s="38">
        <v>0</v>
      </c>
      <c r="BI26" s="39">
        <v>0</v>
      </c>
      <c r="BJ26" s="40">
        <v>45</v>
      </c>
      <c r="BK26" s="102" t="s">
        <v>15</v>
      </c>
      <c r="BL26" s="70" t="s">
        <v>15</v>
      </c>
      <c r="BM26" s="70" t="s">
        <v>15</v>
      </c>
      <c r="BN26" s="70" t="s">
        <v>15</v>
      </c>
      <c r="BO26" s="70" t="s">
        <v>15</v>
      </c>
      <c r="BP26" s="77" t="s">
        <v>20</v>
      </c>
      <c r="BQ26" s="36">
        <v>0</v>
      </c>
      <c r="BR26" s="37">
        <v>0</v>
      </c>
      <c r="BS26" s="37">
        <v>5</v>
      </c>
      <c r="BT26" s="37">
        <v>0</v>
      </c>
      <c r="BU26" s="37">
        <v>0</v>
      </c>
      <c r="BV26" s="38">
        <v>0</v>
      </c>
      <c r="BW26" s="38">
        <v>0</v>
      </c>
      <c r="BX26" s="39">
        <v>1</v>
      </c>
      <c r="BY26" s="40">
        <v>45</v>
      </c>
      <c r="BZ26" s="49">
        <v>0</v>
      </c>
      <c r="CA26" s="49">
        <v>0</v>
      </c>
      <c r="CB26" s="49">
        <v>21</v>
      </c>
      <c r="CC26" s="49">
        <v>0</v>
      </c>
      <c r="CD26" s="49">
        <v>0</v>
      </c>
      <c r="CE26" s="49">
        <v>0</v>
      </c>
      <c r="CF26" s="49">
        <v>0</v>
      </c>
      <c r="CG26" s="49">
        <v>10</v>
      </c>
      <c r="CH26" s="50">
        <v>21</v>
      </c>
      <c r="CI26" s="51">
        <v>192</v>
      </c>
      <c r="CJ26" s="52">
        <v>12</v>
      </c>
    </row>
    <row r="27" spans="1:88" x14ac:dyDescent="0.25">
      <c r="B27" s="91"/>
      <c r="C27" s="91"/>
      <c r="D27" s="91"/>
      <c r="E27" s="91"/>
      <c r="F27" s="91"/>
      <c r="G27" s="91"/>
      <c r="H27" s="91"/>
      <c r="I27" s="91"/>
    </row>
    <row r="28" spans="1:88" x14ac:dyDescent="0.25">
      <c r="B28" s="91"/>
      <c r="C28" s="91"/>
      <c r="D28" s="91"/>
      <c r="E28" s="91"/>
      <c r="F28" s="91"/>
      <c r="G28" s="91"/>
      <c r="H28" s="91"/>
      <c r="I28" s="91"/>
      <c r="R28" s="103"/>
    </row>
    <row r="29" spans="1:88" x14ac:dyDescent="0.25">
      <c r="B29" s="91"/>
      <c r="C29" s="91"/>
      <c r="D29" s="91"/>
      <c r="E29" s="91"/>
      <c r="F29" s="91"/>
      <c r="G29" s="91"/>
      <c r="H29" s="91"/>
      <c r="I29" s="91"/>
    </row>
    <row r="30" spans="1:88" x14ac:dyDescent="0.25">
      <c r="A30" s="91" t="s">
        <v>35</v>
      </c>
      <c r="B30" s="91"/>
      <c r="C30" s="91" t="s">
        <v>36</v>
      </c>
      <c r="D30" s="91"/>
      <c r="E30" s="91"/>
      <c r="F30" s="91"/>
      <c r="G30" s="91"/>
      <c r="H30" s="91"/>
      <c r="W30" s="103"/>
      <c r="AI30" s="103"/>
    </row>
    <row r="31" spans="1:88" x14ac:dyDescent="0.25">
      <c r="A31" s="91" t="s">
        <v>37</v>
      </c>
      <c r="B31" s="91"/>
      <c r="C31" s="91" t="s">
        <v>50</v>
      </c>
      <c r="D31" s="91"/>
      <c r="E31" s="91"/>
      <c r="F31" s="92"/>
      <c r="G31" s="92"/>
      <c r="H31" s="91"/>
      <c r="W31" s="103"/>
    </row>
    <row r="32" spans="1:88" x14ac:dyDescent="0.25">
      <c r="A32" s="91" t="s">
        <v>46</v>
      </c>
      <c r="B32" s="91"/>
      <c r="C32" s="91" t="s">
        <v>38</v>
      </c>
      <c r="D32" s="91"/>
      <c r="E32" s="91"/>
      <c r="F32" s="92"/>
      <c r="G32" s="92"/>
      <c r="H32" s="91"/>
      <c r="I32" s="91"/>
      <c r="J32" s="91"/>
      <c r="P32" s="89"/>
      <c r="Q32" s="89"/>
    </row>
    <row r="33" spans="1:20" x14ac:dyDescent="0.25">
      <c r="A33" s="91" t="s">
        <v>39</v>
      </c>
      <c r="B33" s="92"/>
      <c r="C33" s="104" t="s">
        <v>40</v>
      </c>
      <c r="D33" s="91"/>
      <c r="E33" s="91"/>
      <c r="F33" s="92"/>
      <c r="G33" s="92"/>
      <c r="H33" s="91"/>
      <c r="I33" s="91"/>
      <c r="J33" s="91"/>
      <c r="P33" s="91"/>
      <c r="Q33" s="91"/>
    </row>
    <row r="34" spans="1:20" x14ac:dyDescent="0.25">
      <c r="A34" s="91"/>
      <c r="B34" s="92"/>
      <c r="D34" s="91"/>
      <c r="E34" s="91"/>
      <c r="I34" s="91"/>
      <c r="J34" s="91"/>
      <c r="P34" s="91"/>
      <c r="Q34" s="91"/>
    </row>
    <row r="35" spans="1:20" x14ac:dyDescent="0.25">
      <c r="A35" s="91"/>
      <c r="B35" s="92"/>
      <c r="D35" s="91"/>
      <c r="E35" s="91"/>
      <c r="I35" s="91"/>
      <c r="J35" s="91"/>
      <c r="P35" s="91"/>
      <c r="Q35" s="91"/>
    </row>
    <row r="36" spans="1:20" x14ac:dyDescent="0.25">
      <c r="A36" s="91" t="s">
        <v>47</v>
      </c>
      <c r="B36" s="92"/>
      <c r="C36" s="92" t="s">
        <v>20</v>
      </c>
      <c r="D36" s="91"/>
      <c r="E36" s="91"/>
      <c r="P36" s="91"/>
      <c r="Q36" s="91"/>
    </row>
    <row r="37" spans="1:20" x14ac:dyDescent="0.25">
      <c r="A37" s="119" t="s">
        <v>48</v>
      </c>
      <c r="C37" s="92" t="s">
        <v>41</v>
      </c>
      <c r="T37" s="103"/>
    </row>
    <row r="38" spans="1:20" x14ac:dyDescent="0.25">
      <c r="A38" s="119" t="s">
        <v>49</v>
      </c>
      <c r="C38" s="92" t="s">
        <v>42</v>
      </c>
    </row>
    <row r="39" spans="1:20" x14ac:dyDescent="0.25">
      <c r="A39" s="119" t="s">
        <v>43</v>
      </c>
      <c r="C39" s="92" t="s">
        <v>44</v>
      </c>
    </row>
  </sheetData>
  <mergeCells count="18">
    <mergeCell ref="CI16:CI17"/>
    <mergeCell ref="CJ16:CJ17"/>
    <mergeCell ref="CH2:CH3"/>
    <mergeCell ref="CI2:CI3"/>
    <mergeCell ref="CJ2:CJ3"/>
    <mergeCell ref="BZ16:CG16"/>
    <mergeCell ref="CH16:CH17"/>
    <mergeCell ref="F2:M2"/>
    <mergeCell ref="V2:AC2"/>
    <mergeCell ref="AL2:AS2"/>
    <mergeCell ref="BB2:BI2"/>
    <mergeCell ref="BQ2:BX2"/>
    <mergeCell ref="BZ2:CG2"/>
    <mergeCell ref="F16:M16"/>
    <mergeCell ref="V16:AC16"/>
    <mergeCell ref="AL16:AS16"/>
    <mergeCell ref="BB16:BI16"/>
    <mergeCell ref="BQ16:BX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A679-5413-4305-86E9-5AC8AF184074}">
  <dimension ref="A1:CG38"/>
  <sheetViews>
    <sheetView topLeftCell="AT1" workbookViewId="0">
      <selection activeCell="AS26" sqref="AS26"/>
    </sheetView>
  </sheetViews>
  <sheetFormatPr defaultRowHeight="15" x14ac:dyDescent="0.25"/>
  <cols>
    <col min="1" max="1" width="18.28515625" customWidth="1"/>
    <col min="2" max="2" width="4.28515625" customWidth="1"/>
    <col min="3" max="4" width="4" customWidth="1"/>
    <col min="5" max="5" width="3.5703125" customWidth="1"/>
    <col min="6" max="6" width="3.28515625" customWidth="1"/>
    <col min="7" max="7" width="3.7109375" customWidth="1"/>
    <col min="8" max="8" width="4.140625" customWidth="1"/>
    <col min="9" max="9" width="4.42578125" customWidth="1"/>
    <col min="10" max="10" width="3.42578125" customWidth="1"/>
    <col min="11" max="11" width="4" customWidth="1"/>
    <col min="12" max="12" width="4.140625" customWidth="1"/>
    <col min="13" max="13" width="3.7109375" customWidth="1"/>
    <col min="14" max="14" width="4.85546875" customWidth="1"/>
    <col min="15" max="15" width="4.42578125" customWidth="1"/>
    <col min="16" max="16" width="4" customWidth="1"/>
    <col min="17" max="18" width="4.42578125" customWidth="1"/>
    <col min="19" max="19" width="4.28515625" customWidth="1"/>
    <col min="20" max="20" width="3.85546875" customWidth="1"/>
    <col min="21" max="21" width="4.28515625" customWidth="1"/>
    <col min="22" max="22" width="5" customWidth="1"/>
    <col min="23" max="23" width="4.7109375" customWidth="1"/>
    <col min="24" max="24" width="4.5703125" customWidth="1"/>
    <col min="25" max="25" width="3.42578125" customWidth="1"/>
    <col min="26" max="26" width="4.42578125" customWidth="1"/>
    <col min="27" max="27" width="4" customWidth="1"/>
    <col min="28" max="28" width="5.140625" customWidth="1"/>
    <col min="29" max="29" width="5.5703125" customWidth="1"/>
    <col min="30" max="30" width="5.42578125" customWidth="1"/>
    <col min="31" max="31" width="4.28515625" customWidth="1"/>
    <col min="32" max="32" width="4" customWidth="1"/>
    <col min="33" max="33" width="3.85546875" customWidth="1"/>
    <col min="34" max="34" width="4.7109375" customWidth="1"/>
    <col min="35" max="35" width="4.140625" customWidth="1"/>
    <col min="36" max="36" width="4.7109375" customWidth="1"/>
    <col min="37" max="38" width="4" customWidth="1"/>
    <col min="39" max="39" width="3.28515625" customWidth="1"/>
    <col min="40" max="40" width="3.7109375" customWidth="1"/>
    <col min="41" max="41" width="4.7109375" customWidth="1"/>
    <col min="42" max="42" width="4.5703125" customWidth="1"/>
    <col min="43" max="45" width="4.85546875" customWidth="1"/>
    <col min="46" max="46" width="4.7109375" customWidth="1"/>
    <col min="47" max="47" width="5" customWidth="1"/>
    <col min="48" max="48" width="4.140625" customWidth="1"/>
    <col min="49" max="49" width="4.5703125" customWidth="1"/>
    <col min="50" max="50" width="5" customWidth="1"/>
    <col min="51" max="51" width="3.5703125" customWidth="1"/>
    <col min="52" max="53" width="4.42578125" customWidth="1"/>
    <col min="54" max="54" width="4.85546875" customWidth="1"/>
    <col min="55" max="55" width="5.42578125" customWidth="1"/>
    <col min="56" max="56" width="5" customWidth="1"/>
    <col min="57" max="57" width="5.42578125" customWidth="1"/>
    <col min="58" max="58" width="4.42578125" customWidth="1"/>
    <col min="59" max="59" width="5.5703125" customWidth="1"/>
    <col min="60" max="61" width="5.28515625" customWidth="1"/>
    <col min="62" max="62" width="5.42578125" customWidth="1"/>
    <col min="63" max="63" width="5.5703125" customWidth="1"/>
    <col min="64" max="64" width="4.85546875" customWidth="1"/>
    <col min="65" max="65" width="5.85546875" customWidth="1"/>
    <col min="66" max="66" width="4.85546875" customWidth="1"/>
    <col min="67" max="67" width="4.140625" customWidth="1"/>
    <col min="68" max="69" width="4.7109375" customWidth="1"/>
    <col min="70" max="70" width="5.28515625" customWidth="1"/>
    <col min="71" max="71" width="5" customWidth="1"/>
    <col min="72" max="72" width="6" customWidth="1"/>
    <col min="73" max="73" width="5" customWidth="1"/>
    <col min="74" max="74" width="6.5703125" customWidth="1"/>
    <col min="75" max="75" width="5.5703125" customWidth="1"/>
    <col min="76" max="76" width="5.140625" customWidth="1"/>
    <col min="77" max="77" width="4.28515625" customWidth="1"/>
    <col min="78" max="78" width="4.7109375" customWidth="1"/>
    <col min="79" max="79" width="4.140625" customWidth="1"/>
    <col min="80" max="80" width="4.42578125" customWidth="1"/>
    <col min="81" max="81" width="6.5703125" customWidth="1"/>
    <col min="82" max="82" width="5.140625" customWidth="1"/>
  </cols>
  <sheetData>
    <row r="1" spans="1:85" ht="20.25" thickBot="1" x14ac:dyDescent="0.3">
      <c r="A1" s="2" t="s">
        <v>0</v>
      </c>
      <c r="B1" s="3" t="s">
        <v>7</v>
      </c>
      <c r="C1" s="226" t="s">
        <v>8</v>
      </c>
      <c r="D1" s="227"/>
      <c r="E1" s="227"/>
      <c r="F1" s="227"/>
      <c r="G1" s="227"/>
      <c r="H1" s="227"/>
      <c r="I1" s="227"/>
      <c r="J1" s="228"/>
      <c r="K1" s="7" t="s">
        <v>9</v>
      </c>
      <c r="L1" s="4" t="s">
        <v>1</v>
      </c>
      <c r="M1" s="4" t="s">
        <v>2</v>
      </c>
      <c r="N1" s="4" t="s">
        <v>3</v>
      </c>
      <c r="O1" s="4" t="s">
        <v>4</v>
      </c>
      <c r="P1" s="4" t="s">
        <v>5</v>
      </c>
      <c r="Q1" s="8" t="s">
        <v>6</v>
      </c>
      <c r="R1" s="9" t="s">
        <v>7</v>
      </c>
      <c r="S1" s="226" t="s">
        <v>8</v>
      </c>
      <c r="T1" s="227"/>
      <c r="U1" s="227"/>
      <c r="V1" s="227"/>
      <c r="W1" s="227"/>
      <c r="X1" s="227"/>
      <c r="Y1" s="227"/>
      <c r="Z1" s="228"/>
      <c r="AA1" s="10" t="s">
        <v>9</v>
      </c>
      <c r="AB1" s="11" t="s">
        <v>1</v>
      </c>
      <c r="AC1" s="4" t="s">
        <v>2</v>
      </c>
      <c r="AD1" s="4" t="s">
        <v>3</v>
      </c>
      <c r="AE1" s="4" t="s">
        <v>4</v>
      </c>
      <c r="AF1" s="4" t="s">
        <v>5</v>
      </c>
      <c r="AG1" s="8" t="s">
        <v>6</v>
      </c>
      <c r="AH1" s="9" t="s">
        <v>7</v>
      </c>
      <c r="AI1" s="226" t="s">
        <v>8</v>
      </c>
      <c r="AJ1" s="227"/>
      <c r="AK1" s="227"/>
      <c r="AL1" s="227"/>
      <c r="AM1" s="227"/>
      <c r="AN1" s="227"/>
      <c r="AO1" s="227"/>
      <c r="AP1" s="228"/>
      <c r="AQ1" s="10" t="s">
        <v>9</v>
      </c>
      <c r="AR1" s="11" t="s">
        <v>1</v>
      </c>
      <c r="AS1" s="4" t="s">
        <v>2</v>
      </c>
      <c r="AT1" s="4" t="s">
        <v>3</v>
      </c>
      <c r="AU1" s="4" t="s">
        <v>4</v>
      </c>
      <c r="AV1" s="4" t="s">
        <v>5</v>
      </c>
      <c r="AW1" s="8" t="s">
        <v>6</v>
      </c>
      <c r="AX1" s="12" t="s">
        <v>7</v>
      </c>
      <c r="AY1" s="226" t="s">
        <v>8</v>
      </c>
      <c r="AZ1" s="227"/>
      <c r="BA1" s="227"/>
      <c r="BB1" s="227"/>
      <c r="BC1" s="227"/>
      <c r="BD1" s="227"/>
      <c r="BE1" s="227"/>
      <c r="BF1" s="228"/>
      <c r="BG1" s="10" t="s">
        <v>9</v>
      </c>
      <c r="BH1" s="13" t="s">
        <v>1</v>
      </c>
      <c r="BI1" s="13" t="s">
        <v>2</v>
      </c>
      <c r="BJ1" s="14" t="s">
        <v>3</v>
      </c>
      <c r="BK1" s="14" t="s">
        <v>4</v>
      </c>
      <c r="BL1" s="14" t="s">
        <v>5</v>
      </c>
      <c r="BM1" s="105" t="s">
        <v>6</v>
      </c>
      <c r="BN1" s="226" t="s">
        <v>8</v>
      </c>
      <c r="BO1" s="227"/>
      <c r="BP1" s="227"/>
      <c r="BQ1" s="227"/>
      <c r="BR1" s="227"/>
      <c r="BS1" s="227"/>
      <c r="BT1" s="227"/>
      <c r="BU1" s="228"/>
      <c r="BV1" s="10" t="s">
        <v>9</v>
      </c>
      <c r="BW1" s="222" t="s">
        <v>8</v>
      </c>
      <c r="BX1" s="223"/>
      <c r="BY1" s="223"/>
      <c r="BZ1" s="223"/>
      <c r="CA1" s="223"/>
      <c r="CB1" s="223"/>
      <c r="CC1" s="223"/>
      <c r="CD1" s="223"/>
      <c r="CE1" s="224" t="s">
        <v>10</v>
      </c>
      <c r="CF1" s="233" t="s">
        <v>11</v>
      </c>
      <c r="CG1" s="235" t="s">
        <v>12</v>
      </c>
    </row>
    <row r="2" spans="1:85" ht="15.75" thickBot="1" x14ac:dyDescent="0.3">
      <c r="A2" s="15"/>
      <c r="B2" s="24">
        <v>1</v>
      </c>
      <c r="C2" s="19" t="s">
        <v>13</v>
      </c>
      <c r="D2" s="20" t="s">
        <v>14</v>
      </c>
      <c r="E2" s="20" t="s">
        <v>15</v>
      </c>
      <c r="F2" s="20" t="s">
        <v>16</v>
      </c>
      <c r="G2" s="20" t="s">
        <v>17</v>
      </c>
      <c r="H2" s="21" t="s">
        <v>18</v>
      </c>
      <c r="I2" s="21" t="s">
        <v>19</v>
      </c>
      <c r="J2" s="22" t="s">
        <v>20</v>
      </c>
      <c r="K2" s="23"/>
      <c r="L2" s="16">
        <v>2</v>
      </c>
      <c r="M2" s="16">
        <v>3</v>
      </c>
      <c r="N2" s="16">
        <v>4</v>
      </c>
      <c r="O2" s="16">
        <v>5</v>
      </c>
      <c r="P2" s="16">
        <v>6</v>
      </c>
      <c r="Q2" s="24">
        <v>7</v>
      </c>
      <c r="R2" s="24">
        <v>8</v>
      </c>
      <c r="S2" s="19" t="s">
        <v>13</v>
      </c>
      <c r="T2" s="20" t="s">
        <v>14</v>
      </c>
      <c r="U2" s="20" t="s">
        <v>15</v>
      </c>
      <c r="V2" s="20" t="s">
        <v>16</v>
      </c>
      <c r="W2" s="20" t="s">
        <v>17</v>
      </c>
      <c r="X2" s="21" t="s">
        <v>18</v>
      </c>
      <c r="Y2" s="21" t="s">
        <v>19</v>
      </c>
      <c r="Z2" s="22" t="s">
        <v>20</v>
      </c>
      <c r="AA2" s="25"/>
      <c r="AB2" s="17">
        <v>9</v>
      </c>
      <c r="AC2" s="17">
        <v>10</v>
      </c>
      <c r="AD2" s="17">
        <v>11</v>
      </c>
      <c r="AE2" s="17">
        <v>12</v>
      </c>
      <c r="AF2" s="17">
        <v>13</v>
      </c>
      <c r="AG2" s="18">
        <v>14</v>
      </c>
      <c r="AH2" s="18">
        <v>15</v>
      </c>
      <c r="AI2" s="19" t="s">
        <v>13</v>
      </c>
      <c r="AJ2" s="20" t="s">
        <v>14</v>
      </c>
      <c r="AK2" s="20" t="s">
        <v>15</v>
      </c>
      <c r="AL2" s="20" t="s">
        <v>16</v>
      </c>
      <c r="AM2" s="20" t="s">
        <v>17</v>
      </c>
      <c r="AN2" s="21" t="s">
        <v>18</v>
      </c>
      <c r="AO2" s="21" t="s">
        <v>19</v>
      </c>
      <c r="AP2" s="22" t="s">
        <v>20</v>
      </c>
      <c r="AQ2" s="25"/>
      <c r="AR2" s="16">
        <v>16</v>
      </c>
      <c r="AS2" s="17">
        <v>17</v>
      </c>
      <c r="AT2" s="16">
        <v>18</v>
      </c>
      <c r="AU2" s="17">
        <v>19</v>
      </c>
      <c r="AV2" s="16">
        <v>20</v>
      </c>
      <c r="AW2" s="18">
        <v>21</v>
      </c>
      <c r="AX2" s="18">
        <v>22</v>
      </c>
      <c r="AY2" s="19" t="s">
        <v>13</v>
      </c>
      <c r="AZ2" s="20" t="s">
        <v>14</v>
      </c>
      <c r="BA2" s="20" t="s">
        <v>15</v>
      </c>
      <c r="BB2" s="20" t="s">
        <v>16</v>
      </c>
      <c r="BC2" s="20" t="s">
        <v>17</v>
      </c>
      <c r="BD2" s="21" t="s">
        <v>18</v>
      </c>
      <c r="BE2" s="21" t="s">
        <v>19</v>
      </c>
      <c r="BF2" s="22" t="s">
        <v>20</v>
      </c>
      <c r="BG2" s="25"/>
      <c r="BH2" s="26">
        <v>23</v>
      </c>
      <c r="BI2" s="26">
        <v>24</v>
      </c>
      <c r="BJ2" s="27">
        <v>25</v>
      </c>
      <c r="BK2" s="27">
        <v>26</v>
      </c>
      <c r="BL2" s="27">
        <v>27</v>
      </c>
      <c r="BM2" s="106">
        <v>28</v>
      </c>
      <c r="BN2" s="19" t="s">
        <v>13</v>
      </c>
      <c r="BO2" s="20" t="s">
        <v>14</v>
      </c>
      <c r="BP2" s="20" t="s">
        <v>15</v>
      </c>
      <c r="BQ2" s="20" t="s">
        <v>16</v>
      </c>
      <c r="BR2" s="20" t="s">
        <v>17</v>
      </c>
      <c r="BS2" s="21" t="s">
        <v>18</v>
      </c>
      <c r="BT2" s="21" t="s">
        <v>19</v>
      </c>
      <c r="BU2" s="22" t="s">
        <v>20</v>
      </c>
      <c r="BV2" s="25"/>
      <c r="BW2" s="28" t="s">
        <v>13</v>
      </c>
      <c r="BX2" s="29" t="s">
        <v>14</v>
      </c>
      <c r="BY2" s="29" t="s">
        <v>15</v>
      </c>
      <c r="BZ2" s="29" t="s">
        <v>16</v>
      </c>
      <c r="CA2" s="29" t="s">
        <v>17</v>
      </c>
      <c r="CB2" s="30" t="s">
        <v>18</v>
      </c>
      <c r="CC2" s="29" t="s">
        <v>19</v>
      </c>
      <c r="CD2" s="29" t="s">
        <v>20</v>
      </c>
      <c r="CE2" s="225"/>
      <c r="CF2" s="234"/>
      <c r="CG2" s="236"/>
    </row>
    <row r="3" spans="1:85" x14ac:dyDescent="0.25">
      <c r="A3" s="134"/>
      <c r="B3" s="24"/>
      <c r="C3" s="19"/>
      <c r="D3" s="20"/>
      <c r="E3" s="20"/>
      <c r="F3" s="20"/>
      <c r="G3" s="20"/>
      <c r="H3" s="21"/>
      <c r="I3" s="21"/>
      <c r="J3" s="22"/>
      <c r="K3" s="23"/>
      <c r="L3" s="16"/>
      <c r="M3" s="16"/>
      <c r="N3" s="16"/>
      <c r="O3" s="16"/>
      <c r="P3" s="16"/>
      <c r="Q3" s="24"/>
      <c r="R3" s="123"/>
      <c r="S3" s="19"/>
      <c r="T3" s="20"/>
      <c r="U3" s="20"/>
      <c r="V3" s="20"/>
      <c r="W3" s="20"/>
      <c r="X3" s="21"/>
      <c r="Y3" s="21"/>
      <c r="Z3" s="22"/>
      <c r="AA3" s="25"/>
      <c r="AB3" s="17"/>
      <c r="AC3" s="124"/>
      <c r="AD3" s="124"/>
      <c r="AE3" s="124"/>
      <c r="AF3" s="124"/>
      <c r="AG3" s="125"/>
      <c r="AH3" s="126"/>
      <c r="AI3" s="19"/>
      <c r="AJ3" s="20"/>
      <c r="AK3" s="20"/>
      <c r="AL3" s="20"/>
      <c r="AM3" s="20"/>
      <c r="AN3" s="21"/>
      <c r="AO3" s="21"/>
      <c r="AP3" s="22"/>
      <c r="AQ3" s="25"/>
      <c r="AR3" s="124"/>
      <c r="AS3" s="124"/>
      <c r="AT3" s="16"/>
      <c r="AU3" s="124"/>
      <c r="AV3" s="16"/>
      <c r="AW3" s="125"/>
      <c r="AX3" s="125"/>
      <c r="AY3" s="19"/>
      <c r="AZ3" s="20"/>
      <c r="BA3" s="20"/>
      <c r="BB3" s="20"/>
      <c r="BC3" s="20"/>
      <c r="BD3" s="21"/>
      <c r="BE3" s="21"/>
      <c r="BF3" s="22"/>
      <c r="BG3" s="23"/>
      <c r="BH3" s="127"/>
      <c r="BI3" s="127"/>
      <c r="BJ3" s="127"/>
      <c r="BK3" s="127"/>
      <c r="BL3" s="127"/>
      <c r="BM3" s="128"/>
      <c r="BN3" s="19"/>
      <c r="BO3" s="20"/>
      <c r="BP3" s="20"/>
      <c r="BQ3" s="20"/>
      <c r="BR3" s="20"/>
      <c r="BS3" s="21"/>
      <c r="BT3" s="21"/>
      <c r="BU3" s="22"/>
      <c r="BV3" s="25"/>
      <c r="BW3" s="129"/>
      <c r="BX3" s="129"/>
      <c r="BY3" s="129"/>
      <c r="BZ3" s="129"/>
      <c r="CA3" s="129"/>
      <c r="CB3" s="130"/>
      <c r="CC3" s="129"/>
      <c r="CD3" s="129"/>
      <c r="CE3" s="120"/>
      <c r="CF3" s="121"/>
      <c r="CG3" s="122"/>
    </row>
    <row r="4" spans="1:85" s="132" customFormat="1" x14ac:dyDescent="0.25">
      <c r="A4" s="131" t="s">
        <v>21</v>
      </c>
      <c r="B4" s="64" t="s">
        <v>18</v>
      </c>
      <c r="C4" s="157">
        <v>0</v>
      </c>
      <c r="D4" s="152">
        <v>0</v>
      </c>
      <c r="E4" s="152">
        <v>0</v>
      </c>
      <c r="F4" s="152">
        <v>0</v>
      </c>
      <c r="G4" s="152">
        <v>0</v>
      </c>
      <c r="H4" s="153">
        <v>1</v>
      </c>
      <c r="I4" s="153">
        <v>0</v>
      </c>
      <c r="J4" s="22">
        <v>0</v>
      </c>
      <c r="K4" s="141">
        <v>12</v>
      </c>
      <c r="L4" s="135" t="s">
        <v>18</v>
      </c>
      <c r="M4" s="135" t="s">
        <v>18</v>
      </c>
      <c r="N4" s="54" t="s">
        <v>20</v>
      </c>
      <c r="O4" s="54" t="s">
        <v>20</v>
      </c>
      <c r="P4" s="135" t="s">
        <v>18</v>
      </c>
      <c r="Q4" s="43" t="s">
        <v>20</v>
      </c>
      <c r="R4" s="140" t="s">
        <v>20</v>
      </c>
      <c r="S4" s="136">
        <v>0</v>
      </c>
      <c r="T4" s="137">
        <v>0</v>
      </c>
      <c r="U4" s="137">
        <v>0</v>
      </c>
      <c r="V4" s="152">
        <v>0</v>
      </c>
      <c r="W4" s="152">
        <v>0</v>
      </c>
      <c r="X4" s="153">
        <v>3</v>
      </c>
      <c r="Y4" s="153">
        <v>0</v>
      </c>
      <c r="Z4" s="139">
        <v>4</v>
      </c>
      <c r="AA4" s="138">
        <v>36</v>
      </c>
      <c r="AB4" s="165" t="s">
        <v>20</v>
      </c>
      <c r="AC4" s="142" t="s">
        <v>18</v>
      </c>
      <c r="AD4" s="142" t="s">
        <v>18</v>
      </c>
      <c r="AE4" s="142" t="s">
        <v>18</v>
      </c>
      <c r="AF4" s="162" t="s">
        <v>20</v>
      </c>
      <c r="AG4" s="60" t="s">
        <v>20</v>
      </c>
      <c r="AH4" s="163" t="s">
        <v>20</v>
      </c>
      <c r="AI4" s="157">
        <v>0</v>
      </c>
      <c r="AJ4" s="152">
        <v>0</v>
      </c>
      <c r="AK4" s="152">
        <v>0</v>
      </c>
      <c r="AL4" s="152">
        <v>0</v>
      </c>
      <c r="AM4" s="152">
        <v>0</v>
      </c>
      <c r="AN4" s="153">
        <v>3</v>
      </c>
      <c r="AO4" s="153">
        <v>0</v>
      </c>
      <c r="AP4" s="139">
        <v>4</v>
      </c>
      <c r="AQ4" s="138">
        <v>36</v>
      </c>
      <c r="AR4" s="164" t="s">
        <v>18</v>
      </c>
      <c r="AS4" s="142" t="s">
        <v>18</v>
      </c>
      <c r="AT4" s="144" t="s">
        <v>18</v>
      </c>
      <c r="AU4" s="143" t="s">
        <v>20</v>
      </c>
      <c r="AV4" s="155" t="s">
        <v>20</v>
      </c>
      <c r="AW4" s="68" t="s">
        <v>18</v>
      </c>
      <c r="AX4" s="68" t="s">
        <v>18</v>
      </c>
      <c r="AY4" s="156">
        <v>0</v>
      </c>
      <c r="AZ4" s="151">
        <v>0</v>
      </c>
      <c r="BA4" s="151">
        <v>0</v>
      </c>
      <c r="BB4" s="151">
        <v>0</v>
      </c>
      <c r="BC4" s="151">
        <v>0</v>
      </c>
      <c r="BD4" s="150">
        <v>3</v>
      </c>
      <c r="BE4" s="150">
        <v>0</v>
      </c>
      <c r="BF4" s="158">
        <v>4</v>
      </c>
      <c r="BG4" s="133">
        <v>36</v>
      </c>
      <c r="BH4" s="166" t="s">
        <v>20</v>
      </c>
      <c r="BI4" s="145" t="s">
        <v>18</v>
      </c>
      <c r="BJ4" s="145" t="s">
        <v>18</v>
      </c>
      <c r="BK4" s="145" t="s">
        <v>18</v>
      </c>
      <c r="BL4" s="166" t="s">
        <v>20</v>
      </c>
      <c r="BM4" s="149" t="s">
        <v>20</v>
      </c>
      <c r="BN4" s="156">
        <v>0</v>
      </c>
      <c r="BO4" s="151">
        <v>0</v>
      </c>
      <c r="BP4" s="151">
        <v>0</v>
      </c>
      <c r="BQ4" s="151">
        <v>0</v>
      </c>
      <c r="BR4" s="151">
        <v>0</v>
      </c>
      <c r="BS4" s="150">
        <v>3</v>
      </c>
      <c r="BT4" s="150">
        <v>0</v>
      </c>
      <c r="BU4" s="158">
        <v>3</v>
      </c>
      <c r="BV4" s="159">
        <v>36</v>
      </c>
      <c r="BW4" s="146">
        <v>0</v>
      </c>
      <c r="BX4" s="146">
        <v>0</v>
      </c>
      <c r="BY4" s="146">
        <v>0</v>
      </c>
      <c r="BZ4" s="146">
        <v>0</v>
      </c>
      <c r="CA4" s="146">
        <v>0</v>
      </c>
      <c r="CB4" s="147">
        <v>0</v>
      </c>
      <c r="CC4" s="146">
        <v>0</v>
      </c>
      <c r="CD4" s="146">
        <v>8</v>
      </c>
      <c r="CE4" s="160">
        <v>15</v>
      </c>
      <c r="CF4" s="148">
        <v>180</v>
      </c>
      <c r="CG4" s="161">
        <v>0</v>
      </c>
    </row>
    <row r="5" spans="1:85" x14ac:dyDescent="0.25">
      <c r="A5" s="32" t="s">
        <v>22</v>
      </c>
      <c r="B5" s="64" t="s">
        <v>16</v>
      </c>
      <c r="C5" s="36">
        <v>0</v>
      </c>
      <c r="D5" s="37">
        <v>0</v>
      </c>
      <c r="E5" s="37">
        <v>0</v>
      </c>
      <c r="F5" s="37">
        <v>1</v>
      </c>
      <c r="G5" s="37">
        <v>0</v>
      </c>
      <c r="H5" s="38">
        <v>0</v>
      </c>
      <c r="I5" s="38">
        <v>0</v>
      </c>
      <c r="J5" s="39">
        <v>0</v>
      </c>
      <c r="K5" s="40">
        <f t="shared" ref="K5:K8" si="0">(10*C5)+(8*D5)+(9*E5)+(12*F5)+(11*G5)+(12*H5)+(9*I5)</f>
        <v>12</v>
      </c>
      <c r="L5" s="57" t="s">
        <v>20</v>
      </c>
      <c r="M5" s="57" t="s">
        <v>20</v>
      </c>
      <c r="N5" s="33" t="s">
        <v>16</v>
      </c>
      <c r="O5" s="33" t="s">
        <v>16</v>
      </c>
      <c r="P5" s="33" t="s">
        <v>16</v>
      </c>
      <c r="Q5" s="43" t="s">
        <v>20</v>
      </c>
      <c r="R5" s="44" t="s">
        <v>20</v>
      </c>
      <c r="S5" s="36">
        <v>0</v>
      </c>
      <c r="T5" s="37">
        <v>0</v>
      </c>
      <c r="U5" s="37">
        <v>0</v>
      </c>
      <c r="V5" s="37">
        <v>3</v>
      </c>
      <c r="W5" s="37">
        <v>0</v>
      </c>
      <c r="X5" s="38">
        <v>0</v>
      </c>
      <c r="Y5" s="38">
        <v>0</v>
      </c>
      <c r="Z5" s="39">
        <v>4</v>
      </c>
      <c r="AA5" s="40">
        <v>48</v>
      </c>
      <c r="AB5" s="58" t="s">
        <v>16</v>
      </c>
      <c r="AC5" s="59" t="s">
        <v>16</v>
      </c>
      <c r="AD5" s="57" t="s">
        <v>20</v>
      </c>
      <c r="AE5" s="57" t="s">
        <v>20</v>
      </c>
      <c r="AF5" s="57" t="s">
        <v>20</v>
      </c>
      <c r="AG5" s="64" t="s">
        <v>16</v>
      </c>
      <c r="AH5" s="65" t="s">
        <v>16</v>
      </c>
      <c r="AI5" s="36">
        <v>0</v>
      </c>
      <c r="AJ5" s="37">
        <v>0</v>
      </c>
      <c r="AK5" s="37">
        <v>0</v>
      </c>
      <c r="AL5" s="37">
        <v>4</v>
      </c>
      <c r="AM5" s="37">
        <v>0</v>
      </c>
      <c r="AN5" s="38">
        <v>0</v>
      </c>
      <c r="AO5" s="38">
        <v>0</v>
      </c>
      <c r="AP5" s="39">
        <v>3</v>
      </c>
      <c r="AQ5" s="40">
        <f t="shared" ref="AQ5:AQ9" si="1">(10*AI5)+(8*AJ5)+(9*AK5)+(12*AL5)+(11*AM5)+(12*AN5)+(9*AO5)</f>
        <v>48</v>
      </c>
      <c r="AR5" s="66" t="s">
        <v>20</v>
      </c>
      <c r="AS5" s="67" t="s">
        <v>20</v>
      </c>
      <c r="AT5" s="33" t="s">
        <v>16</v>
      </c>
      <c r="AU5" s="33" t="s">
        <v>16</v>
      </c>
      <c r="AV5" s="33" t="s">
        <v>16</v>
      </c>
      <c r="AW5" s="60" t="s">
        <v>20</v>
      </c>
      <c r="AX5" s="60" t="s">
        <v>20</v>
      </c>
      <c r="AY5" s="36">
        <v>0</v>
      </c>
      <c r="AZ5" s="37">
        <v>0</v>
      </c>
      <c r="BA5" s="37">
        <v>0</v>
      </c>
      <c r="BB5" s="37">
        <v>4</v>
      </c>
      <c r="BC5" s="37">
        <v>0</v>
      </c>
      <c r="BD5" s="38">
        <v>0</v>
      </c>
      <c r="BE5" s="38">
        <v>0</v>
      </c>
      <c r="BF5" s="39">
        <v>4</v>
      </c>
      <c r="BG5" s="61">
        <v>48</v>
      </c>
      <c r="BH5" s="62" t="s">
        <v>16</v>
      </c>
      <c r="BI5" s="62" t="s">
        <v>16</v>
      </c>
      <c r="BJ5" s="77" t="s">
        <v>20</v>
      </c>
      <c r="BK5" s="77" t="s">
        <v>20</v>
      </c>
      <c r="BL5" s="77" t="s">
        <v>20</v>
      </c>
      <c r="BM5" s="108" t="s">
        <v>16</v>
      </c>
      <c r="BN5" s="36">
        <v>0</v>
      </c>
      <c r="BO5" s="37">
        <v>0</v>
      </c>
      <c r="BP5" s="37">
        <v>0</v>
      </c>
      <c r="BQ5" s="37">
        <v>3</v>
      </c>
      <c r="BR5" s="37">
        <v>0</v>
      </c>
      <c r="BS5" s="38">
        <v>0</v>
      </c>
      <c r="BT5" s="38">
        <v>0</v>
      </c>
      <c r="BU5" s="39">
        <v>3</v>
      </c>
      <c r="BV5" s="40">
        <f t="shared" ref="BV5:BV9" si="2">(10*BN5)+(8*BO5)+(9*BP5)+(12*BQ5)+(11*BR5)+(12*BS5)+(9*BT5)</f>
        <v>36</v>
      </c>
      <c r="BW5" s="49">
        <f t="shared" ref="BW5:CD9" si="3">SUM(C5,S5,AI5,AY5,BN5)</f>
        <v>0</v>
      </c>
      <c r="BX5" s="49">
        <f t="shared" si="3"/>
        <v>0</v>
      </c>
      <c r="BY5" s="49">
        <f t="shared" si="3"/>
        <v>0</v>
      </c>
      <c r="BZ5" s="49">
        <v>14</v>
      </c>
      <c r="CA5" s="49">
        <f t="shared" si="3"/>
        <v>0</v>
      </c>
      <c r="CB5" s="49">
        <f t="shared" si="3"/>
        <v>0</v>
      </c>
      <c r="CC5" s="49">
        <f t="shared" si="3"/>
        <v>0</v>
      </c>
      <c r="CD5" s="49">
        <f t="shared" si="3"/>
        <v>14</v>
      </c>
      <c r="CE5" s="50">
        <f t="shared" ref="CE5:CE9" si="4">SUM(BX5:CC5)</f>
        <v>14</v>
      </c>
      <c r="CF5" s="51">
        <v>168</v>
      </c>
      <c r="CG5" s="52">
        <f t="shared" ref="CG5:CG9" si="5">CF5-180</f>
        <v>-12</v>
      </c>
    </row>
    <row r="6" spans="1:85" x14ac:dyDescent="0.25">
      <c r="A6" s="71" t="s">
        <v>23</v>
      </c>
      <c r="B6" s="64" t="s">
        <v>18</v>
      </c>
      <c r="C6" s="36">
        <v>0</v>
      </c>
      <c r="D6" s="37">
        <v>0</v>
      </c>
      <c r="E6" s="37">
        <v>0</v>
      </c>
      <c r="F6" s="37">
        <v>0</v>
      </c>
      <c r="G6" s="37">
        <v>0</v>
      </c>
      <c r="H6" s="38">
        <v>1</v>
      </c>
      <c r="I6" s="38">
        <v>0</v>
      </c>
      <c r="J6" s="39">
        <v>0</v>
      </c>
      <c r="K6" s="40">
        <f t="shared" si="0"/>
        <v>12</v>
      </c>
      <c r="L6" s="33" t="s">
        <v>18</v>
      </c>
      <c r="M6" s="57" t="s">
        <v>20</v>
      </c>
      <c r="N6" s="57" t="s">
        <v>20</v>
      </c>
      <c r="O6" s="33" t="s">
        <v>18</v>
      </c>
      <c r="P6" s="33" t="s">
        <v>18</v>
      </c>
      <c r="Q6" s="64" t="s">
        <v>18</v>
      </c>
      <c r="R6" s="43" t="s">
        <v>20</v>
      </c>
      <c r="S6" s="36">
        <v>0</v>
      </c>
      <c r="T6" s="37">
        <v>0</v>
      </c>
      <c r="U6" s="37">
        <v>0</v>
      </c>
      <c r="V6" s="37">
        <v>0</v>
      </c>
      <c r="W6" s="37">
        <v>0</v>
      </c>
      <c r="X6" s="38">
        <v>4</v>
      </c>
      <c r="Y6" s="38">
        <v>0</v>
      </c>
      <c r="Z6" s="39">
        <v>3</v>
      </c>
      <c r="AA6" s="40">
        <f t="shared" ref="AA6:AA9" si="6">(10*S6)+(8*T6)+(9*U6)+(12*V6)+(11*W6)+(12*X6)+(9*Y6)</f>
        <v>48</v>
      </c>
      <c r="AB6" s="66" t="s">
        <v>41</v>
      </c>
      <c r="AC6" s="67" t="s">
        <v>41</v>
      </c>
      <c r="AD6" s="57" t="s">
        <v>41</v>
      </c>
      <c r="AE6" s="57" t="s">
        <v>41</v>
      </c>
      <c r="AF6" s="57" t="s">
        <v>41</v>
      </c>
      <c r="AG6" s="43" t="s">
        <v>41</v>
      </c>
      <c r="AH6" s="43" t="s">
        <v>41</v>
      </c>
      <c r="AI6" s="36">
        <v>0</v>
      </c>
      <c r="AJ6" s="37">
        <v>0</v>
      </c>
      <c r="AK6" s="37">
        <v>0</v>
      </c>
      <c r="AL6" s="37">
        <v>0</v>
      </c>
      <c r="AM6" s="37">
        <v>0</v>
      </c>
      <c r="AN6" s="38">
        <v>0</v>
      </c>
      <c r="AO6" s="38">
        <v>0</v>
      </c>
      <c r="AP6" s="39">
        <v>0</v>
      </c>
      <c r="AQ6" s="40">
        <f t="shared" si="1"/>
        <v>0</v>
      </c>
      <c r="AR6" s="66" t="s">
        <v>41</v>
      </c>
      <c r="AS6" s="57" t="s">
        <v>41</v>
      </c>
      <c r="AT6" s="57" t="s">
        <v>41</v>
      </c>
      <c r="AU6" s="57" t="s">
        <v>41</v>
      </c>
      <c r="AV6" s="57" t="s">
        <v>41</v>
      </c>
      <c r="AW6" s="43" t="s">
        <v>41</v>
      </c>
      <c r="AX6" s="60" t="s">
        <v>41</v>
      </c>
      <c r="AY6" s="36">
        <v>0</v>
      </c>
      <c r="AZ6" s="37">
        <v>0</v>
      </c>
      <c r="BA6" s="37">
        <v>0</v>
      </c>
      <c r="BB6" s="37">
        <v>0</v>
      </c>
      <c r="BC6" s="37">
        <v>0</v>
      </c>
      <c r="BD6" s="38">
        <v>0</v>
      </c>
      <c r="BE6" s="38">
        <v>0</v>
      </c>
      <c r="BF6" s="39">
        <v>0</v>
      </c>
      <c r="BG6" s="40">
        <f t="shared" ref="BG6:BG8" si="7">(10*AY6)+(8*AZ6)+(9*BA6)+(12*BB6)+(11*BC6)+(12*BD6)+(9*BE6)</f>
        <v>0</v>
      </c>
      <c r="BH6" s="80" t="s">
        <v>41</v>
      </c>
      <c r="BI6" s="81" t="s">
        <v>41</v>
      </c>
      <c r="BJ6" s="74" t="s">
        <v>41</v>
      </c>
      <c r="BK6" s="74" t="s">
        <v>41</v>
      </c>
      <c r="BL6" s="74" t="s">
        <v>41</v>
      </c>
      <c r="BM6" s="109" t="s">
        <v>41</v>
      </c>
      <c r="BN6" s="36">
        <v>0</v>
      </c>
      <c r="BO6" s="37">
        <v>0</v>
      </c>
      <c r="BP6" s="37">
        <v>0</v>
      </c>
      <c r="BQ6" s="37">
        <v>0</v>
      </c>
      <c r="BR6" s="37">
        <v>0</v>
      </c>
      <c r="BS6" s="38">
        <v>0</v>
      </c>
      <c r="BT6" s="38">
        <v>0</v>
      </c>
      <c r="BU6" s="39">
        <v>0</v>
      </c>
      <c r="BV6" s="40">
        <f t="shared" si="2"/>
        <v>0</v>
      </c>
      <c r="BW6" s="49">
        <f t="shared" si="3"/>
        <v>0</v>
      </c>
      <c r="BX6" s="49">
        <f t="shared" si="3"/>
        <v>0</v>
      </c>
      <c r="BY6" s="49">
        <f t="shared" si="3"/>
        <v>0</v>
      </c>
      <c r="BZ6" s="49">
        <f t="shared" si="3"/>
        <v>0</v>
      </c>
      <c r="CA6" s="49">
        <f t="shared" si="3"/>
        <v>0</v>
      </c>
      <c r="CB6" s="49">
        <v>0</v>
      </c>
      <c r="CC6" s="49">
        <f t="shared" si="3"/>
        <v>0</v>
      </c>
      <c r="CD6" s="49">
        <v>0</v>
      </c>
      <c r="CE6" s="50">
        <f t="shared" si="4"/>
        <v>0</v>
      </c>
      <c r="CF6" s="51">
        <f t="shared" ref="CF6:CF9" si="8">SUM(K6,AA6,AQ6,BG6,BV6)</f>
        <v>60</v>
      </c>
      <c r="CG6" s="52">
        <f t="shared" si="5"/>
        <v>-120</v>
      </c>
    </row>
    <row r="7" spans="1:85" x14ac:dyDescent="0.25">
      <c r="A7" s="75" t="s">
        <v>24</v>
      </c>
      <c r="B7" s="167" t="s">
        <v>20</v>
      </c>
      <c r="C7" s="36">
        <v>0</v>
      </c>
      <c r="D7" s="37">
        <v>0</v>
      </c>
      <c r="E7" s="37">
        <v>0</v>
      </c>
      <c r="F7" s="37">
        <v>0</v>
      </c>
      <c r="G7" s="37">
        <v>0</v>
      </c>
      <c r="H7" s="38">
        <v>0</v>
      </c>
      <c r="I7" s="38">
        <v>0</v>
      </c>
      <c r="J7" s="39">
        <v>1</v>
      </c>
      <c r="K7" s="40">
        <f t="shared" si="0"/>
        <v>0</v>
      </c>
      <c r="L7" s="33" t="s">
        <v>16</v>
      </c>
      <c r="M7" s="33" t="s">
        <v>16</v>
      </c>
      <c r="N7" s="57" t="s">
        <v>20</v>
      </c>
      <c r="O7" s="57" t="s">
        <v>20</v>
      </c>
      <c r="P7" s="57" t="s">
        <v>20</v>
      </c>
      <c r="Q7" s="64" t="s">
        <v>16</v>
      </c>
      <c r="R7" s="65" t="s">
        <v>16</v>
      </c>
      <c r="S7" s="36">
        <v>0</v>
      </c>
      <c r="T7" s="37">
        <v>0</v>
      </c>
      <c r="U7" s="37">
        <v>0</v>
      </c>
      <c r="V7" s="37">
        <v>4</v>
      </c>
      <c r="W7" s="37">
        <v>0</v>
      </c>
      <c r="X7" s="38">
        <v>0</v>
      </c>
      <c r="Y7" s="38">
        <v>0</v>
      </c>
      <c r="Z7" s="39">
        <v>3</v>
      </c>
      <c r="AA7" s="40">
        <f t="shared" si="6"/>
        <v>48</v>
      </c>
      <c r="AB7" s="66" t="s">
        <v>20</v>
      </c>
      <c r="AC7" s="67" t="s">
        <v>20</v>
      </c>
      <c r="AD7" s="33" t="s">
        <v>16</v>
      </c>
      <c r="AE7" s="33" t="s">
        <v>16</v>
      </c>
      <c r="AF7" s="33" t="s">
        <v>16</v>
      </c>
      <c r="AG7" s="43" t="s">
        <v>20</v>
      </c>
      <c r="AH7" s="44" t="s">
        <v>20</v>
      </c>
      <c r="AI7" s="36">
        <v>0</v>
      </c>
      <c r="AJ7" s="37">
        <v>0</v>
      </c>
      <c r="AK7" s="37">
        <v>0</v>
      </c>
      <c r="AL7" s="37">
        <v>3</v>
      </c>
      <c r="AM7" s="37">
        <v>0</v>
      </c>
      <c r="AN7" s="38">
        <v>0</v>
      </c>
      <c r="AO7" s="38">
        <v>0</v>
      </c>
      <c r="AP7" s="39">
        <v>4</v>
      </c>
      <c r="AQ7" s="40">
        <v>48</v>
      </c>
      <c r="AR7" s="59" t="s">
        <v>16</v>
      </c>
      <c r="AS7" s="33" t="s">
        <v>16</v>
      </c>
      <c r="AT7" s="57" t="s">
        <v>20</v>
      </c>
      <c r="AU7" s="57" t="s">
        <v>20</v>
      </c>
      <c r="AV7" s="57" t="s">
        <v>20</v>
      </c>
      <c r="AW7" s="68" t="s">
        <v>16</v>
      </c>
      <c r="AX7" s="68" t="s">
        <v>16</v>
      </c>
      <c r="AY7" s="36">
        <v>0</v>
      </c>
      <c r="AZ7" s="37">
        <v>0</v>
      </c>
      <c r="BA7" s="37">
        <v>0</v>
      </c>
      <c r="BB7" s="37">
        <v>4</v>
      </c>
      <c r="BC7" s="37">
        <v>0</v>
      </c>
      <c r="BD7" s="38">
        <v>0</v>
      </c>
      <c r="BE7" s="38">
        <v>0</v>
      </c>
      <c r="BF7" s="39">
        <v>3</v>
      </c>
      <c r="BG7" s="61">
        <f t="shared" si="7"/>
        <v>48</v>
      </c>
      <c r="BH7" s="69" t="s">
        <v>20</v>
      </c>
      <c r="BI7" s="69" t="s">
        <v>20</v>
      </c>
      <c r="BJ7" s="63" t="s">
        <v>16</v>
      </c>
      <c r="BK7" s="63" t="s">
        <v>16</v>
      </c>
      <c r="BL7" s="63" t="s">
        <v>16</v>
      </c>
      <c r="BM7" s="110" t="s">
        <v>20</v>
      </c>
      <c r="BN7" s="36">
        <v>0</v>
      </c>
      <c r="BO7" s="37">
        <v>0</v>
      </c>
      <c r="BP7" s="37">
        <v>0</v>
      </c>
      <c r="BQ7" s="37">
        <v>3</v>
      </c>
      <c r="BR7" s="37">
        <v>0</v>
      </c>
      <c r="BS7" s="38">
        <v>0</v>
      </c>
      <c r="BT7" s="38">
        <v>0</v>
      </c>
      <c r="BU7" s="39">
        <v>3</v>
      </c>
      <c r="BV7" s="40">
        <f t="shared" si="2"/>
        <v>36</v>
      </c>
      <c r="BW7" s="49">
        <f t="shared" si="3"/>
        <v>0</v>
      </c>
      <c r="BX7" s="49">
        <f t="shared" si="3"/>
        <v>0</v>
      </c>
      <c r="BY7" s="49">
        <f t="shared" si="3"/>
        <v>0</v>
      </c>
      <c r="BZ7" s="49">
        <v>14</v>
      </c>
      <c r="CA7" s="49">
        <f t="shared" si="3"/>
        <v>0</v>
      </c>
      <c r="CB7" s="49">
        <f t="shared" si="3"/>
        <v>0</v>
      </c>
      <c r="CC7" s="49">
        <f t="shared" si="3"/>
        <v>0</v>
      </c>
      <c r="CD7" s="49">
        <f t="shared" si="3"/>
        <v>14</v>
      </c>
      <c r="CE7" s="50">
        <f t="shared" si="4"/>
        <v>14</v>
      </c>
      <c r="CF7" s="51">
        <v>168</v>
      </c>
      <c r="CG7" s="52">
        <f t="shared" si="5"/>
        <v>-12</v>
      </c>
    </row>
    <row r="8" spans="1:85" x14ac:dyDescent="0.25">
      <c r="A8" s="71" t="s">
        <v>25</v>
      </c>
      <c r="B8" s="43" t="s">
        <v>29</v>
      </c>
      <c r="C8" s="36">
        <v>0</v>
      </c>
      <c r="D8" s="37">
        <v>0</v>
      </c>
      <c r="E8" s="37">
        <v>0</v>
      </c>
      <c r="F8" s="37">
        <v>0</v>
      </c>
      <c r="G8" s="37">
        <v>0</v>
      </c>
      <c r="H8" s="38">
        <v>1</v>
      </c>
      <c r="I8" s="38">
        <v>0</v>
      </c>
      <c r="J8" s="39">
        <v>2</v>
      </c>
      <c r="K8" s="40">
        <f t="shared" si="0"/>
        <v>12</v>
      </c>
      <c r="L8" s="57" t="s">
        <v>20</v>
      </c>
      <c r="M8" s="54" t="s">
        <v>20</v>
      </c>
      <c r="N8" s="33" t="s">
        <v>18</v>
      </c>
      <c r="O8" s="33" t="s">
        <v>18</v>
      </c>
      <c r="P8" s="57" t="s">
        <v>20</v>
      </c>
      <c r="Q8" s="43" t="s">
        <v>20</v>
      </c>
      <c r="R8" s="64" t="s">
        <v>18</v>
      </c>
      <c r="S8" s="36">
        <v>0</v>
      </c>
      <c r="T8" s="37">
        <v>0</v>
      </c>
      <c r="U8" s="37">
        <v>0</v>
      </c>
      <c r="V8" s="37">
        <v>0</v>
      </c>
      <c r="W8" s="37">
        <v>0</v>
      </c>
      <c r="X8" s="38">
        <v>3</v>
      </c>
      <c r="Y8" s="38">
        <v>0</v>
      </c>
      <c r="Z8" s="39">
        <v>4</v>
      </c>
      <c r="AA8" s="40">
        <f t="shared" si="6"/>
        <v>36</v>
      </c>
      <c r="AB8" s="58" t="s">
        <v>18</v>
      </c>
      <c r="AC8" s="59" t="s">
        <v>18</v>
      </c>
      <c r="AD8" s="57" t="s">
        <v>20</v>
      </c>
      <c r="AE8" s="57" t="s">
        <v>20</v>
      </c>
      <c r="AF8" s="33" t="s">
        <v>18</v>
      </c>
      <c r="AG8" s="64" t="s">
        <v>18</v>
      </c>
      <c r="AH8" s="64" t="s">
        <v>18</v>
      </c>
      <c r="AI8" s="36">
        <v>0</v>
      </c>
      <c r="AJ8" s="37">
        <v>0</v>
      </c>
      <c r="AK8" s="37">
        <v>0</v>
      </c>
      <c r="AL8" s="37">
        <v>0</v>
      </c>
      <c r="AM8" s="37">
        <v>0</v>
      </c>
      <c r="AN8" s="38">
        <v>5</v>
      </c>
      <c r="AO8" s="38">
        <v>0</v>
      </c>
      <c r="AP8" s="39">
        <v>3</v>
      </c>
      <c r="AQ8" s="40">
        <f t="shared" si="1"/>
        <v>60</v>
      </c>
      <c r="AR8" s="66" t="s">
        <v>20</v>
      </c>
      <c r="AS8" s="57" t="s">
        <v>20</v>
      </c>
      <c r="AT8" s="57" t="s">
        <v>20</v>
      </c>
      <c r="AU8" s="33" t="s">
        <v>18</v>
      </c>
      <c r="AV8" s="53" t="s">
        <v>18</v>
      </c>
      <c r="AW8" s="43" t="s">
        <v>20</v>
      </c>
      <c r="AX8" s="60" t="s">
        <v>20</v>
      </c>
      <c r="AY8" s="36">
        <v>0</v>
      </c>
      <c r="AZ8" s="37">
        <v>0</v>
      </c>
      <c r="BA8" s="37">
        <v>0</v>
      </c>
      <c r="BB8" s="37">
        <v>0</v>
      </c>
      <c r="BC8" s="37">
        <v>0</v>
      </c>
      <c r="BD8" s="38">
        <v>2</v>
      </c>
      <c r="BE8" s="38">
        <v>0</v>
      </c>
      <c r="BF8" s="39">
        <v>5</v>
      </c>
      <c r="BG8" s="40">
        <f t="shared" si="7"/>
        <v>24</v>
      </c>
      <c r="BH8" s="72" t="s">
        <v>18</v>
      </c>
      <c r="BI8" s="73" t="s">
        <v>18</v>
      </c>
      <c r="BJ8" s="74" t="s">
        <v>20</v>
      </c>
      <c r="BK8" s="74" t="s">
        <v>20</v>
      </c>
      <c r="BL8" s="82" t="s">
        <v>18</v>
      </c>
      <c r="BM8" s="111" t="s">
        <v>18</v>
      </c>
      <c r="BN8" s="36">
        <v>0</v>
      </c>
      <c r="BO8" s="37">
        <v>0</v>
      </c>
      <c r="BP8" s="37">
        <v>0</v>
      </c>
      <c r="BQ8" s="37">
        <v>0</v>
      </c>
      <c r="BR8" s="37">
        <v>0</v>
      </c>
      <c r="BS8" s="38">
        <v>4</v>
      </c>
      <c r="BT8" s="38">
        <v>0</v>
      </c>
      <c r="BU8" s="39">
        <v>2</v>
      </c>
      <c r="BV8" s="40">
        <f t="shared" si="2"/>
        <v>48</v>
      </c>
      <c r="BW8" s="49">
        <f t="shared" si="3"/>
        <v>0</v>
      </c>
      <c r="BX8" s="49">
        <f t="shared" si="3"/>
        <v>0</v>
      </c>
      <c r="BY8" s="49">
        <f t="shared" si="3"/>
        <v>0</v>
      </c>
      <c r="BZ8" s="49">
        <f t="shared" si="3"/>
        <v>0</v>
      </c>
      <c r="CA8" s="49">
        <f t="shared" si="3"/>
        <v>0</v>
      </c>
      <c r="CB8" s="49">
        <f t="shared" si="3"/>
        <v>15</v>
      </c>
      <c r="CC8" s="49">
        <f t="shared" si="3"/>
        <v>0</v>
      </c>
      <c r="CD8" s="49">
        <f t="shared" si="3"/>
        <v>16</v>
      </c>
      <c r="CE8" s="50">
        <f t="shared" si="4"/>
        <v>15</v>
      </c>
      <c r="CF8" s="51">
        <f t="shared" si="8"/>
        <v>180</v>
      </c>
      <c r="CG8" s="52">
        <f t="shared" si="5"/>
        <v>0</v>
      </c>
    </row>
    <row r="9" spans="1:85" x14ac:dyDescent="0.25">
      <c r="A9" s="71" t="s">
        <v>26</v>
      </c>
      <c r="B9" s="167" t="s">
        <v>20</v>
      </c>
      <c r="C9" s="36">
        <v>0</v>
      </c>
      <c r="D9" s="37">
        <v>0</v>
      </c>
      <c r="E9" s="37">
        <v>0</v>
      </c>
      <c r="F9" s="37">
        <v>0</v>
      </c>
      <c r="G9" s="37">
        <v>0</v>
      </c>
      <c r="H9" s="38">
        <v>0</v>
      </c>
      <c r="I9" s="38">
        <v>0</v>
      </c>
      <c r="J9" s="39">
        <v>0</v>
      </c>
      <c r="K9" s="40">
        <v>0</v>
      </c>
      <c r="L9" s="57" t="s">
        <v>20</v>
      </c>
      <c r="M9" s="33" t="s">
        <v>18</v>
      </c>
      <c r="N9" s="33" t="s">
        <v>18</v>
      </c>
      <c r="O9" s="57" t="s">
        <v>20</v>
      </c>
      <c r="P9" s="57" t="s">
        <v>20</v>
      </c>
      <c r="Q9" s="78" t="s">
        <v>18</v>
      </c>
      <c r="R9" s="78" t="s">
        <v>18</v>
      </c>
      <c r="S9" s="36">
        <v>0</v>
      </c>
      <c r="T9" s="37">
        <v>0</v>
      </c>
      <c r="U9" s="37">
        <v>0</v>
      </c>
      <c r="V9" s="37">
        <v>0</v>
      </c>
      <c r="W9" s="37">
        <v>0</v>
      </c>
      <c r="X9" s="38">
        <v>4</v>
      </c>
      <c r="Y9" s="38">
        <v>0</v>
      </c>
      <c r="Z9" s="39">
        <v>3</v>
      </c>
      <c r="AA9" s="40">
        <f t="shared" si="6"/>
        <v>48</v>
      </c>
      <c r="AB9" s="58" t="s">
        <v>18</v>
      </c>
      <c r="AC9" s="66" t="s">
        <v>20</v>
      </c>
      <c r="AD9" s="66" t="s">
        <v>20</v>
      </c>
      <c r="AE9" s="66" t="s">
        <v>20</v>
      </c>
      <c r="AF9" s="53" t="s">
        <v>18</v>
      </c>
      <c r="AG9" s="64" t="s">
        <v>18</v>
      </c>
      <c r="AH9" s="65" t="s">
        <v>18</v>
      </c>
      <c r="AI9" s="36">
        <v>0</v>
      </c>
      <c r="AJ9" s="37">
        <v>0</v>
      </c>
      <c r="AK9" s="37">
        <v>0</v>
      </c>
      <c r="AL9" s="37">
        <v>0</v>
      </c>
      <c r="AM9" s="37">
        <v>0</v>
      </c>
      <c r="AN9" s="38">
        <v>4</v>
      </c>
      <c r="AO9" s="38">
        <v>0</v>
      </c>
      <c r="AP9" s="39">
        <v>3</v>
      </c>
      <c r="AQ9" s="40">
        <f t="shared" si="1"/>
        <v>48</v>
      </c>
      <c r="AR9" s="66" t="s">
        <v>20</v>
      </c>
      <c r="AS9" s="57" t="s">
        <v>20</v>
      </c>
      <c r="AT9" s="57" t="s">
        <v>20</v>
      </c>
      <c r="AU9" s="33" t="s">
        <v>18</v>
      </c>
      <c r="AV9" s="33" t="s">
        <v>18</v>
      </c>
      <c r="AW9" s="43" t="s">
        <v>20</v>
      </c>
      <c r="AX9" s="79" t="s">
        <v>18</v>
      </c>
      <c r="AY9" s="36">
        <v>0</v>
      </c>
      <c r="AZ9" s="37">
        <v>0</v>
      </c>
      <c r="BA9" s="37">
        <v>0</v>
      </c>
      <c r="BB9" s="37">
        <v>0</v>
      </c>
      <c r="BC9" s="37">
        <v>0</v>
      </c>
      <c r="BD9" s="38">
        <v>3</v>
      </c>
      <c r="BE9" s="38">
        <v>0</v>
      </c>
      <c r="BF9" s="39">
        <v>4</v>
      </c>
      <c r="BG9" s="40">
        <v>36</v>
      </c>
      <c r="BH9" s="72" t="s">
        <v>18</v>
      </c>
      <c r="BI9" s="81" t="s">
        <v>20</v>
      </c>
      <c r="BJ9" s="74" t="s">
        <v>20</v>
      </c>
      <c r="BK9" s="82" t="s">
        <v>18</v>
      </c>
      <c r="BL9" s="82" t="s">
        <v>18</v>
      </c>
      <c r="BM9" s="111" t="s">
        <v>18</v>
      </c>
      <c r="BN9" s="36">
        <v>0</v>
      </c>
      <c r="BO9" s="37">
        <v>0</v>
      </c>
      <c r="BP9" s="37">
        <v>0</v>
      </c>
      <c r="BQ9" s="37">
        <v>0</v>
      </c>
      <c r="BR9" s="37">
        <v>0</v>
      </c>
      <c r="BS9" s="38">
        <v>4</v>
      </c>
      <c r="BT9" s="38">
        <v>0</v>
      </c>
      <c r="BU9" s="39">
        <v>2</v>
      </c>
      <c r="BV9" s="40">
        <f t="shared" si="2"/>
        <v>48</v>
      </c>
      <c r="BW9" s="49">
        <f t="shared" si="3"/>
        <v>0</v>
      </c>
      <c r="BX9" s="49">
        <f t="shared" si="3"/>
        <v>0</v>
      </c>
      <c r="BY9" s="49">
        <f t="shared" si="3"/>
        <v>0</v>
      </c>
      <c r="BZ9" s="49">
        <f t="shared" si="3"/>
        <v>0</v>
      </c>
      <c r="CA9" s="49">
        <f t="shared" si="3"/>
        <v>0</v>
      </c>
      <c r="CB9" s="49">
        <f t="shared" si="3"/>
        <v>15</v>
      </c>
      <c r="CC9" s="49">
        <f t="shared" si="3"/>
        <v>0</v>
      </c>
      <c r="CD9" s="49">
        <f t="shared" si="3"/>
        <v>12</v>
      </c>
      <c r="CE9" s="50">
        <f t="shared" si="4"/>
        <v>15</v>
      </c>
      <c r="CF9" s="51">
        <f t="shared" si="8"/>
        <v>180</v>
      </c>
      <c r="CG9" s="52">
        <f t="shared" si="5"/>
        <v>0</v>
      </c>
    </row>
    <row r="10" spans="1:85" x14ac:dyDescent="0.25">
      <c r="A10" s="84"/>
      <c r="B10" s="83"/>
      <c r="C10" s="36"/>
      <c r="D10" s="37"/>
      <c r="E10" s="37"/>
      <c r="F10" s="37"/>
      <c r="G10" s="37"/>
      <c r="H10" s="38"/>
      <c r="I10" s="38"/>
      <c r="J10" s="39"/>
      <c r="K10" s="40"/>
      <c r="L10" s="57"/>
      <c r="M10" s="57"/>
      <c r="N10" s="33"/>
      <c r="O10" s="57"/>
      <c r="P10" s="33"/>
      <c r="Q10" s="64"/>
      <c r="R10" s="43"/>
      <c r="S10" s="36"/>
      <c r="T10" s="37"/>
      <c r="U10" s="37"/>
      <c r="V10" s="37"/>
      <c r="W10" s="37"/>
      <c r="X10" s="38"/>
      <c r="Y10" s="38"/>
      <c r="Z10" s="39"/>
      <c r="AA10" s="40"/>
      <c r="AB10" s="66"/>
      <c r="AC10" s="58"/>
      <c r="AD10" s="66"/>
      <c r="AE10" s="66"/>
      <c r="AF10" s="33"/>
      <c r="AG10" s="64"/>
      <c r="AH10" s="65"/>
      <c r="AI10" s="36"/>
      <c r="AJ10" s="37"/>
      <c r="AK10" s="37"/>
      <c r="AL10" s="37"/>
      <c r="AM10" s="37"/>
      <c r="AN10" s="38"/>
      <c r="AO10" s="38"/>
      <c r="AP10" s="39"/>
      <c r="AQ10" s="40"/>
      <c r="AR10" s="66"/>
      <c r="AS10" s="57"/>
      <c r="AT10" s="33"/>
      <c r="AU10" s="33"/>
      <c r="AV10" s="57"/>
      <c r="AW10" s="43"/>
      <c r="AX10" s="68"/>
      <c r="AY10" s="36"/>
      <c r="AZ10" s="37"/>
      <c r="BA10" s="37"/>
      <c r="BB10" s="37"/>
      <c r="BC10" s="37"/>
      <c r="BD10" s="38"/>
      <c r="BE10" s="38"/>
      <c r="BF10" s="39"/>
      <c r="BG10" s="40"/>
      <c r="BH10" s="80"/>
      <c r="BI10" s="73"/>
      <c r="BJ10" s="74"/>
      <c r="BK10" s="74"/>
      <c r="BL10" s="82"/>
      <c r="BM10" s="111"/>
      <c r="BN10" s="36"/>
      <c r="BO10" s="37"/>
      <c r="BP10" s="37"/>
      <c r="BQ10" s="37"/>
      <c r="BR10" s="37"/>
      <c r="BS10" s="38"/>
      <c r="BT10" s="38"/>
      <c r="BU10" s="39"/>
      <c r="BV10" s="40"/>
      <c r="BW10" s="49"/>
      <c r="BX10" s="49"/>
      <c r="BY10" s="49"/>
      <c r="BZ10" s="49"/>
      <c r="CA10" s="49"/>
      <c r="CB10" s="49"/>
      <c r="CC10" s="49"/>
      <c r="CD10" s="49"/>
      <c r="CE10" s="50"/>
      <c r="CF10" s="51"/>
      <c r="CG10" s="52"/>
    </row>
    <row r="11" spans="1:85" x14ac:dyDescent="0.25">
      <c r="A11" s="71"/>
      <c r="B11" s="83"/>
      <c r="C11" s="36"/>
      <c r="D11" s="37"/>
      <c r="E11" s="37"/>
      <c r="F11" s="37"/>
      <c r="G11" s="37"/>
      <c r="H11" s="38"/>
      <c r="I11" s="38"/>
      <c r="J11" s="39"/>
      <c r="K11" s="40"/>
      <c r="L11" s="53"/>
      <c r="M11" s="53"/>
      <c r="N11" s="57"/>
      <c r="O11" s="57"/>
      <c r="P11" s="57"/>
      <c r="Q11" s="78"/>
      <c r="R11" s="78"/>
      <c r="S11" s="36"/>
      <c r="T11" s="37"/>
      <c r="U11" s="37"/>
      <c r="V11" s="37"/>
      <c r="W11" s="37"/>
      <c r="X11" s="38"/>
      <c r="Y11" s="38"/>
      <c r="Z11" s="39"/>
      <c r="AA11" s="40"/>
      <c r="AB11" s="66"/>
      <c r="AC11" s="66"/>
      <c r="AD11" s="55"/>
      <c r="AE11" s="55"/>
      <c r="AF11" s="53"/>
      <c r="AG11" s="43"/>
      <c r="AH11" s="44"/>
      <c r="AI11" s="36"/>
      <c r="AJ11" s="37"/>
      <c r="AK11" s="37"/>
      <c r="AL11" s="37"/>
      <c r="AM11" s="37"/>
      <c r="AN11" s="38"/>
      <c r="AO11" s="38"/>
      <c r="AP11" s="39"/>
      <c r="AQ11" s="40"/>
      <c r="AR11" s="55"/>
      <c r="AS11" s="53"/>
      <c r="AT11" s="57"/>
      <c r="AU11" s="57"/>
      <c r="AV11" s="53"/>
      <c r="AW11" s="78"/>
      <c r="AX11" s="79"/>
      <c r="AY11" s="36"/>
      <c r="AZ11" s="37"/>
      <c r="BA11" s="37"/>
      <c r="BB11" s="37"/>
      <c r="BC11" s="37"/>
      <c r="BD11" s="38"/>
      <c r="BE11" s="38"/>
      <c r="BF11" s="39"/>
      <c r="BG11" s="40"/>
      <c r="BH11" s="80"/>
      <c r="BI11" s="81"/>
      <c r="BJ11" s="74"/>
      <c r="BK11" s="74"/>
      <c r="BL11" s="74"/>
      <c r="BM11" s="109"/>
      <c r="BN11" s="36"/>
      <c r="BO11" s="37"/>
      <c r="BP11" s="37"/>
      <c r="BQ11" s="37"/>
      <c r="BR11" s="37"/>
      <c r="BS11" s="38"/>
      <c r="BT11" s="38"/>
      <c r="BU11" s="39"/>
      <c r="BV11" s="40"/>
      <c r="BW11" s="49"/>
      <c r="BX11" s="49"/>
      <c r="BY11" s="49"/>
      <c r="BZ11" s="49"/>
      <c r="CA11" s="49"/>
      <c r="CB11" s="49"/>
      <c r="CC11" s="49"/>
      <c r="CD11" s="49"/>
      <c r="CE11" s="50"/>
      <c r="CF11" s="51"/>
      <c r="CG11" s="52"/>
    </row>
    <row r="12" spans="1:85" x14ac:dyDescent="0.25">
      <c r="A12" s="71"/>
      <c r="B12" s="83"/>
      <c r="C12" s="36"/>
      <c r="D12" s="37"/>
      <c r="E12" s="37"/>
      <c r="F12" s="37"/>
      <c r="G12" s="37"/>
      <c r="H12" s="38"/>
      <c r="I12" s="38"/>
      <c r="J12" s="39"/>
      <c r="K12" s="40"/>
      <c r="L12" s="53"/>
      <c r="M12" s="53"/>
      <c r="N12" s="57"/>
      <c r="O12" s="57"/>
      <c r="P12" s="57"/>
      <c r="Q12" s="78"/>
      <c r="R12" s="78"/>
      <c r="S12" s="36"/>
      <c r="T12" s="37"/>
      <c r="U12" s="37"/>
      <c r="V12" s="37"/>
      <c r="W12" s="37"/>
      <c r="X12" s="38"/>
      <c r="Y12" s="38"/>
      <c r="Z12" s="39"/>
      <c r="AA12" s="40"/>
      <c r="AB12" s="66"/>
      <c r="AC12" s="66"/>
      <c r="AD12" s="55"/>
      <c r="AE12" s="55"/>
      <c r="AF12" s="53"/>
      <c r="AG12" s="43"/>
      <c r="AH12" s="44"/>
      <c r="AI12" s="36"/>
      <c r="AJ12" s="37"/>
      <c r="AK12" s="37"/>
      <c r="AL12" s="37"/>
      <c r="AM12" s="37"/>
      <c r="AN12" s="38"/>
      <c r="AO12" s="38"/>
      <c r="AP12" s="39"/>
      <c r="AQ12" s="40"/>
      <c r="AR12" s="55"/>
      <c r="AS12" s="53"/>
      <c r="AT12" s="57"/>
      <c r="AU12" s="57"/>
      <c r="AV12" s="53"/>
      <c r="AW12" s="78"/>
      <c r="AX12" s="79"/>
      <c r="AY12" s="36"/>
      <c r="AZ12" s="37"/>
      <c r="BA12" s="37"/>
      <c r="BB12" s="37"/>
      <c r="BC12" s="37"/>
      <c r="BD12" s="38"/>
      <c r="BE12" s="38"/>
      <c r="BF12" s="39"/>
      <c r="BG12" s="40"/>
      <c r="BH12" s="80"/>
      <c r="BI12" s="81"/>
      <c r="BJ12" s="74"/>
      <c r="BK12" s="74"/>
      <c r="BL12" s="74"/>
      <c r="BM12" s="109"/>
      <c r="BN12" s="36"/>
      <c r="BO12" s="37"/>
      <c r="BP12" s="37"/>
      <c r="BQ12" s="37"/>
      <c r="BR12" s="37"/>
      <c r="BS12" s="38"/>
      <c r="BT12" s="38"/>
      <c r="BU12" s="39"/>
      <c r="BV12" s="40"/>
      <c r="BW12" s="49"/>
      <c r="BX12" s="49"/>
      <c r="BY12" s="49"/>
      <c r="BZ12" s="49"/>
      <c r="CA12" s="49"/>
      <c r="CB12" s="49"/>
      <c r="CC12" s="49"/>
      <c r="CD12" s="49"/>
      <c r="CE12" s="50"/>
      <c r="CF12" s="51"/>
      <c r="CG12" s="52"/>
    </row>
    <row r="13" spans="1:85" x14ac:dyDescent="0.25">
      <c r="A13" s="84"/>
      <c r="B13" s="84"/>
      <c r="C13" s="87"/>
      <c r="D13" s="87"/>
      <c r="E13" s="87"/>
      <c r="F13" s="87"/>
      <c r="G13" s="87"/>
      <c r="H13" s="87"/>
      <c r="I13" s="87"/>
      <c r="J13" s="87"/>
      <c r="K13" s="87"/>
      <c r="L13" s="85"/>
      <c r="M13" s="85"/>
      <c r="N13" s="85"/>
      <c r="O13" s="85"/>
      <c r="P13" s="86"/>
      <c r="Q13" s="86"/>
      <c r="R13" s="86"/>
      <c r="S13" s="87"/>
      <c r="T13" s="87"/>
      <c r="U13" s="87"/>
      <c r="V13" s="87"/>
      <c r="W13" s="87"/>
      <c r="X13" s="87"/>
      <c r="Y13" s="87"/>
      <c r="Z13" s="87"/>
      <c r="AA13" s="87"/>
      <c r="AB13" s="85"/>
      <c r="AC13" s="85"/>
      <c r="AD13" s="85"/>
      <c r="AE13" s="85"/>
      <c r="AF13" s="86"/>
      <c r="AG13" s="86"/>
      <c r="AH13" s="86"/>
      <c r="AI13" s="87"/>
      <c r="AJ13" s="87"/>
      <c r="AK13" s="87"/>
      <c r="AL13" s="87"/>
      <c r="AM13" s="87"/>
      <c r="AN13" s="87"/>
      <c r="AO13" s="87"/>
      <c r="AP13" s="87"/>
      <c r="AQ13" s="87"/>
      <c r="AR13" s="86"/>
      <c r="AS13" s="86"/>
      <c r="AT13" s="85"/>
      <c r="AU13" s="85"/>
      <c r="AV13" s="86"/>
      <c r="AW13" s="86"/>
      <c r="AX13" s="86"/>
      <c r="AY13" s="87"/>
      <c r="AZ13" s="87"/>
      <c r="BA13" s="87"/>
      <c r="BB13" s="87"/>
      <c r="BC13" s="87"/>
      <c r="BD13" s="87"/>
      <c r="BE13" s="87"/>
      <c r="BF13" s="87"/>
      <c r="BG13" s="87"/>
      <c r="BH13" s="88"/>
      <c r="BI13" s="88"/>
      <c r="BJ13" s="88"/>
      <c r="BK13" s="88"/>
      <c r="BL13" s="88"/>
      <c r="BM13" s="88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9"/>
      <c r="CF13" s="89"/>
      <c r="CG13" s="89"/>
    </row>
    <row r="14" spans="1:85" ht="16.5" thickBot="1" x14ac:dyDescent="0.3">
      <c r="A14" s="90" t="s">
        <v>28</v>
      </c>
      <c r="B14" s="90"/>
      <c r="C14" s="92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3"/>
      <c r="AU14" s="93"/>
      <c r="AV14" s="93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3"/>
      <c r="BH14" s="93"/>
      <c r="BI14" s="93"/>
      <c r="BJ14" s="93"/>
      <c r="BK14" s="93"/>
      <c r="BL14" s="93"/>
      <c r="BM14" s="93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</row>
    <row r="15" spans="1:85" ht="20.25" thickBot="1" x14ac:dyDescent="0.3">
      <c r="A15" s="2" t="s">
        <v>0</v>
      </c>
      <c r="B15" s="94" t="s">
        <v>7</v>
      </c>
      <c r="C15" s="226" t="s">
        <v>8</v>
      </c>
      <c r="D15" s="227"/>
      <c r="E15" s="227"/>
      <c r="F15" s="227"/>
      <c r="G15" s="227"/>
      <c r="H15" s="227"/>
      <c r="I15" s="227"/>
      <c r="J15" s="228"/>
      <c r="K15" s="7" t="s">
        <v>9</v>
      </c>
      <c r="L15" s="4" t="s">
        <v>1</v>
      </c>
      <c r="M15" s="4" t="s">
        <v>2</v>
      </c>
      <c r="N15" s="4" t="s">
        <v>3</v>
      </c>
      <c r="O15" s="4" t="s">
        <v>4</v>
      </c>
      <c r="P15" s="4" t="s">
        <v>5</v>
      </c>
      <c r="Q15" s="8" t="s">
        <v>6</v>
      </c>
      <c r="R15" s="9" t="s">
        <v>7</v>
      </c>
      <c r="S15" s="226" t="s">
        <v>8</v>
      </c>
      <c r="T15" s="227"/>
      <c r="U15" s="227"/>
      <c r="V15" s="227"/>
      <c r="W15" s="227"/>
      <c r="X15" s="227"/>
      <c r="Y15" s="227"/>
      <c r="Z15" s="228"/>
      <c r="AA15" s="10" t="s">
        <v>9</v>
      </c>
      <c r="AB15" s="11" t="s">
        <v>1</v>
      </c>
      <c r="AC15" s="4" t="s">
        <v>2</v>
      </c>
      <c r="AD15" s="4" t="s">
        <v>3</v>
      </c>
      <c r="AE15" s="4" t="s">
        <v>4</v>
      </c>
      <c r="AF15" s="4" t="s">
        <v>5</v>
      </c>
      <c r="AG15" s="8" t="s">
        <v>6</v>
      </c>
      <c r="AH15" s="9" t="s">
        <v>7</v>
      </c>
      <c r="AI15" s="226" t="s">
        <v>8</v>
      </c>
      <c r="AJ15" s="227"/>
      <c r="AK15" s="227"/>
      <c r="AL15" s="227"/>
      <c r="AM15" s="227"/>
      <c r="AN15" s="227"/>
      <c r="AO15" s="227"/>
      <c r="AP15" s="228"/>
      <c r="AQ15" s="10" t="s">
        <v>9</v>
      </c>
      <c r="AR15" s="11" t="s">
        <v>1</v>
      </c>
      <c r="AS15" s="4" t="s">
        <v>2</v>
      </c>
      <c r="AT15" s="4" t="s">
        <v>3</v>
      </c>
      <c r="AU15" s="4" t="s">
        <v>4</v>
      </c>
      <c r="AV15" s="4" t="s">
        <v>5</v>
      </c>
      <c r="AW15" s="8" t="s">
        <v>6</v>
      </c>
      <c r="AX15" s="12" t="s">
        <v>7</v>
      </c>
      <c r="AY15" s="226" t="s">
        <v>8</v>
      </c>
      <c r="AZ15" s="227"/>
      <c r="BA15" s="227"/>
      <c r="BB15" s="227"/>
      <c r="BC15" s="227"/>
      <c r="BD15" s="227"/>
      <c r="BE15" s="227"/>
      <c r="BF15" s="228"/>
      <c r="BG15" s="7" t="s">
        <v>9</v>
      </c>
      <c r="BH15" s="95" t="s">
        <v>1</v>
      </c>
      <c r="BI15" s="95" t="s">
        <v>2</v>
      </c>
      <c r="BJ15" s="96" t="s">
        <v>3</v>
      </c>
      <c r="BK15" s="96" t="s">
        <v>4</v>
      </c>
      <c r="BL15" s="96" t="s">
        <v>5</v>
      </c>
      <c r="BM15" s="112" t="s">
        <v>6</v>
      </c>
      <c r="BN15" s="226" t="s">
        <v>8</v>
      </c>
      <c r="BO15" s="227"/>
      <c r="BP15" s="227"/>
      <c r="BQ15" s="227"/>
      <c r="BR15" s="227"/>
      <c r="BS15" s="227"/>
      <c r="BT15" s="227"/>
      <c r="BU15" s="228"/>
      <c r="BV15" s="10" t="s">
        <v>9</v>
      </c>
      <c r="BW15" s="222" t="s">
        <v>8</v>
      </c>
      <c r="BX15" s="223"/>
      <c r="BY15" s="223"/>
      <c r="BZ15" s="223"/>
      <c r="CA15" s="223"/>
      <c r="CB15" s="223"/>
      <c r="CC15" s="223"/>
      <c r="CD15" s="223"/>
      <c r="CE15" s="224" t="s">
        <v>10</v>
      </c>
      <c r="CF15" s="229" t="s">
        <v>11</v>
      </c>
      <c r="CG15" s="231" t="s">
        <v>12</v>
      </c>
    </row>
    <row r="16" spans="1:85" ht="15.75" thickBot="1" x14ac:dyDescent="0.3">
      <c r="A16" s="15"/>
      <c r="B16" s="24">
        <v>1</v>
      </c>
      <c r="C16" s="19" t="s">
        <v>13</v>
      </c>
      <c r="D16" s="20" t="s">
        <v>14</v>
      </c>
      <c r="E16" s="20" t="s">
        <v>15</v>
      </c>
      <c r="F16" s="20" t="s">
        <v>16</v>
      </c>
      <c r="G16" s="20" t="s">
        <v>29</v>
      </c>
      <c r="H16" s="21" t="s">
        <v>18</v>
      </c>
      <c r="I16" s="21" t="s">
        <v>19</v>
      </c>
      <c r="J16" s="22" t="s">
        <v>20</v>
      </c>
      <c r="K16" s="23"/>
      <c r="L16" s="16">
        <v>2</v>
      </c>
      <c r="M16" s="16">
        <v>3</v>
      </c>
      <c r="N16" s="16">
        <v>4</v>
      </c>
      <c r="O16" s="16">
        <v>4</v>
      </c>
      <c r="P16" s="16">
        <v>6</v>
      </c>
      <c r="Q16" s="24">
        <v>7</v>
      </c>
      <c r="R16" s="24">
        <v>8</v>
      </c>
      <c r="S16" s="19" t="s">
        <v>13</v>
      </c>
      <c r="T16" s="20" t="s">
        <v>14</v>
      </c>
      <c r="U16" s="20" t="s">
        <v>15</v>
      </c>
      <c r="V16" s="20" t="s">
        <v>16</v>
      </c>
      <c r="W16" s="20" t="s">
        <v>29</v>
      </c>
      <c r="X16" s="21" t="s">
        <v>18</v>
      </c>
      <c r="Y16" s="21" t="s">
        <v>19</v>
      </c>
      <c r="Z16" s="22" t="s">
        <v>20</v>
      </c>
      <c r="AA16" s="25"/>
      <c r="AB16" s="17">
        <v>9</v>
      </c>
      <c r="AC16" s="17">
        <v>10</v>
      </c>
      <c r="AD16" s="17">
        <v>11</v>
      </c>
      <c r="AE16" s="17">
        <v>12</v>
      </c>
      <c r="AF16" s="17">
        <v>13</v>
      </c>
      <c r="AG16" s="18">
        <v>14</v>
      </c>
      <c r="AH16" s="18">
        <v>15</v>
      </c>
      <c r="AI16" s="19" t="s">
        <v>13</v>
      </c>
      <c r="AJ16" s="20" t="s">
        <v>14</v>
      </c>
      <c r="AK16" s="20" t="s">
        <v>15</v>
      </c>
      <c r="AL16" s="20" t="s">
        <v>16</v>
      </c>
      <c r="AM16" s="20" t="s">
        <v>29</v>
      </c>
      <c r="AN16" s="21" t="s">
        <v>18</v>
      </c>
      <c r="AO16" s="21" t="s">
        <v>19</v>
      </c>
      <c r="AP16" s="22" t="s">
        <v>20</v>
      </c>
      <c r="AQ16" s="25"/>
      <c r="AR16" s="16">
        <v>16</v>
      </c>
      <c r="AS16" s="17">
        <v>17</v>
      </c>
      <c r="AT16" s="16">
        <v>18</v>
      </c>
      <c r="AU16" s="17">
        <v>19</v>
      </c>
      <c r="AV16" s="16">
        <v>20</v>
      </c>
      <c r="AW16" s="18">
        <v>21</v>
      </c>
      <c r="AX16" s="18">
        <v>22</v>
      </c>
      <c r="AY16" s="19" t="s">
        <v>13</v>
      </c>
      <c r="AZ16" s="20" t="s">
        <v>14</v>
      </c>
      <c r="BA16" s="20" t="s">
        <v>15</v>
      </c>
      <c r="BB16" s="20" t="s">
        <v>16</v>
      </c>
      <c r="BC16" s="20" t="s">
        <v>29</v>
      </c>
      <c r="BD16" s="21" t="s">
        <v>18</v>
      </c>
      <c r="BE16" s="21" t="s">
        <v>19</v>
      </c>
      <c r="BF16" s="22" t="s">
        <v>20</v>
      </c>
      <c r="BG16" s="23"/>
      <c r="BH16" s="97">
        <v>23</v>
      </c>
      <c r="BI16" s="95">
        <v>24</v>
      </c>
      <c r="BJ16" s="98">
        <v>25</v>
      </c>
      <c r="BK16" s="98">
        <v>26</v>
      </c>
      <c r="BL16" s="98">
        <v>27</v>
      </c>
      <c r="BM16" s="113">
        <v>28</v>
      </c>
      <c r="BN16" s="19" t="s">
        <v>13</v>
      </c>
      <c r="BO16" s="20" t="s">
        <v>14</v>
      </c>
      <c r="BP16" s="20" t="s">
        <v>15</v>
      </c>
      <c r="BQ16" s="20" t="s">
        <v>16</v>
      </c>
      <c r="BR16" s="20" t="s">
        <v>29</v>
      </c>
      <c r="BS16" s="21" t="s">
        <v>18</v>
      </c>
      <c r="BT16" s="21" t="s">
        <v>19</v>
      </c>
      <c r="BU16" s="22" t="s">
        <v>20</v>
      </c>
      <c r="BV16" s="25"/>
      <c r="BW16" s="28" t="s">
        <v>13</v>
      </c>
      <c r="BX16" s="29" t="s">
        <v>14</v>
      </c>
      <c r="BY16" s="29" t="s">
        <v>15</v>
      </c>
      <c r="BZ16" s="29" t="s">
        <v>16</v>
      </c>
      <c r="CA16" s="29" t="s">
        <v>17</v>
      </c>
      <c r="CB16" s="30" t="s">
        <v>18</v>
      </c>
      <c r="CC16" s="29" t="s">
        <v>19</v>
      </c>
      <c r="CD16" s="29" t="s">
        <v>20</v>
      </c>
      <c r="CE16" s="225"/>
      <c r="CF16" s="230"/>
      <c r="CG16" s="232"/>
    </row>
    <row r="17" spans="1:85" x14ac:dyDescent="0.25">
      <c r="A17" s="31" t="s">
        <v>30</v>
      </c>
      <c r="B17" s="168" t="s">
        <v>20</v>
      </c>
      <c r="C17" s="36">
        <v>0</v>
      </c>
      <c r="D17" s="37">
        <v>0</v>
      </c>
      <c r="E17" s="37">
        <v>0</v>
      </c>
      <c r="F17" s="37">
        <v>0</v>
      </c>
      <c r="G17" s="37">
        <v>0</v>
      </c>
      <c r="H17" s="38">
        <v>0</v>
      </c>
      <c r="I17" s="38">
        <v>0</v>
      </c>
      <c r="J17" s="39">
        <v>1</v>
      </c>
      <c r="K17" s="40">
        <v>0</v>
      </c>
      <c r="L17" s="33" t="s">
        <v>18</v>
      </c>
      <c r="M17" s="33" t="s">
        <v>18</v>
      </c>
      <c r="N17" s="57" t="s">
        <v>20</v>
      </c>
      <c r="O17" s="57" t="s">
        <v>20</v>
      </c>
      <c r="P17" s="57" t="s">
        <v>20</v>
      </c>
      <c r="Q17" s="64" t="s">
        <v>18</v>
      </c>
      <c r="R17" s="64" t="s">
        <v>18</v>
      </c>
      <c r="S17" s="36">
        <v>0</v>
      </c>
      <c r="T17" s="37">
        <v>0</v>
      </c>
      <c r="U17" s="37">
        <v>0</v>
      </c>
      <c r="V17" s="37">
        <v>0</v>
      </c>
      <c r="W17" s="37">
        <v>0</v>
      </c>
      <c r="X17" s="38">
        <v>4</v>
      </c>
      <c r="Y17" s="38">
        <v>0</v>
      </c>
      <c r="Z17" s="39">
        <v>3</v>
      </c>
      <c r="AA17" s="40">
        <v>48</v>
      </c>
      <c r="AB17" s="66" t="s">
        <v>20</v>
      </c>
      <c r="AC17" s="67" t="s">
        <v>20</v>
      </c>
      <c r="AD17" s="33" t="s">
        <v>18</v>
      </c>
      <c r="AE17" s="33" t="s">
        <v>18</v>
      </c>
      <c r="AF17" s="33" t="s">
        <v>18</v>
      </c>
      <c r="AG17" s="43" t="s">
        <v>20</v>
      </c>
      <c r="AH17" s="44" t="s">
        <v>20</v>
      </c>
      <c r="AI17" s="36">
        <v>0</v>
      </c>
      <c r="AJ17" s="37">
        <v>0</v>
      </c>
      <c r="AK17" s="37">
        <v>0</v>
      </c>
      <c r="AL17" s="37">
        <v>0</v>
      </c>
      <c r="AM17" s="37">
        <v>0</v>
      </c>
      <c r="AN17" s="38">
        <v>3</v>
      </c>
      <c r="AO17" s="38">
        <v>0</v>
      </c>
      <c r="AP17" s="39">
        <v>4</v>
      </c>
      <c r="AQ17" s="40">
        <f>(10*AI17)+(8*AJ17)+(9*AK17)+(12*AL17)+(11*AM17)+(12*AN17)+(9*AO17)</f>
        <v>36</v>
      </c>
      <c r="AR17" s="58" t="s">
        <v>18</v>
      </c>
      <c r="AS17" s="59" t="s">
        <v>18</v>
      </c>
      <c r="AT17" s="57" t="s">
        <v>20</v>
      </c>
      <c r="AU17" s="57" t="s">
        <v>20</v>
      </c>
      <c r="AV17" s="57" t="s">
        <v>20</v>
      </c>
      <c r="AW17" s="68" t="s">
        <v>18</v>
      </c>
      <c r="AX17" s="68" t="s">
        <v>18</v>
      </c>
      <c r="AY17" s="36">
        <v>0</v>
      </c>
      <c r="AZ17" s="37">
        <v>0</v>
      </c>
      <c r="BA17" s="37">
        <v>0</v>
      </c>
      <c r="BB17" s="37">
        <v>0</v>
      </c>
      <c r="BC17" s="37">
        <v>0</v>
      </c>
      <c r="BD17" s="38">
        <v>4</v>
      </c>
      <c r="BE17" s="38">
        <v>0</v>
      </c>
      <c r="BF17" s="39">
        <v>3</v>
      </c>
      <c r="BG17" s="61">
        <f>(10*AY17)+(8*AZ17)+(9*BA17)+(12*BB17)+(11*BC17)+(12*BD17)+(9*BE17)</f>
        <v>48</v>
      </c>
      <c r="BH17" s="69" t="s">
        <v>20</v>
      </c>
      <c r="BI17" s="69" t="s">
        <v>20</v>
      </c>
      <c r="BJ17" s="63" t="s">
        <v>18</v>
      </c>
      <c r="BK17" s="63" t="s">
        <v>18</v>
      </c>
      <c r="BL17" s="63" t="s">
        <v>18</v>
      </c>
      <c r="BM17" s="110" t="s">
        <v>20</v>
      </c>
      <c r="BN17" s="36">
        <v>0</v>
      </c>
      <c r="BO17" s="37">
        <v>0</v>
      </c>
      <c r="BP17" s="37">
        <v>0</v>
      </c>
      <c r="BQ17" s="37">
        <v>0</v>
      </c>
      <c r="BR17" s="37">
        <v>0</v>
      </c>
      <c r="BS17" s="38">
        <v>3</v>
      </c>
      <c r="BT17" s="38">
        <v>0</v>
      </c>
      <c r="BU17" s="39">
        <v>3</v>
      </c>
      <c r="BV17" s="40">
        <f t="shared" ref="BV17" si="9">(10*BN17)+(8*BO17)+(9*BP17)+(12*BQ17)+(11*BR17)+(12*BS17)+(9*BT17)</f>
        <v>36</v>
      </c>
      <c r="BW17" s="49">
        <f t="shared" ref="BW17:CD20" si="10">SUM(C17,S17,AI17,AY17,BN17)</f>
        <v>0</v>
      </c>
      <c r="BX17" s="49">
        <f t="shared" si="10"/>
        <v>0</v>
      </c>
      <c r="BY17" s="49">
        <f t="shared" si="10"/>
        <v>0</v>
      </c>
      <c r="BZ17" s="49">
        <f t="shared" si="10"/>
        <v>0</v>
      </c>
      <c r="CA17" s="49">
        <f t="shared" si="10"/>
        <v>0</v>
      </c>
      <c r="CB17" s="49">
        <f t="shared" si="10"/>
        <v>14</v>
      </c>
      <c r="CC17" s="49">
        <f t="shared" si="10"/>
        <v>0</v>
      </c>
      <c r="CD17" s="49">
        <f t="shared" si="10"/>
        <v>14</v>
      </c>
      <c r="CE17" s="50">
        <f t="shared" ref="CE17" si="11">SUM(BW17:CC17)</f>
        <v>14</v>
      </c>
      <c r="CF17" s="51">
        <f>SUM(K17,AA17,AQ17,BG17,BV17)</f>
        <v>168</v>
      </c>
      <c r="CG17" s="52">
        <f t="shared" ref="CG17" si="12">CF17-180</f>
        <v>-12</v>
      </c>
    </row>
    <row r="18" spans="1:85" x14ac:dyDescent="0.25">
      <c r="A18" s="31" t="s">
        <v>31</v>
      </c>
      <c r="B18" s="43" t="s">
        <v>41</v>
      </c>
      <c r="C18" s="36">
        <v>0</v>
      </c>
      <c r="D18" s="37">
        <v>0</v>
      </c>
      <c r="E18" s="37">
        <v>0</v>
      </c>
      <c r="F18" s="37">
        <v>0</v>
      </c>
      <c r="G18" s="37">
        <v>0</v>
      </c>
      <c r="H18" s="38">
        <v>0</v>
      </c>
      <c r="I18" s="38">
        <v>0</v>
      </c>
      <c r="J18" s="39">
        <v>0</v>
      </c>
      <c r="K18" s="40">
        <v>0</v>
      </c>
      <c r="L18" s="57" t="s">
        <v>20</v>
      </c>
      <c r="M18" s="57" t="s">
        <v>20</v>
      </c>
      <c r="N18" s="33" t="s">
        <v>18</v>
      </c>
      <c r="O18" s="33" t="s">
        <v>18</v>
      </c>
      <c r="P18" s="33" t="s">
        <v>18</v>
      </c>
      <c r="Q18" s="43" t="s">
        <v>20</v>
      </c>
      <c r="R18" s="43" t="s">
        <v>20</v>
      </c>
      <c r="S18" s="36">
        <v>0</v>
      </c>
      <c r="T18" s="37">
        <v>0</v>
      </c>
      <c r="U18" s="37">
        <v>0</v>
      </c>
      <c r="V18" s="37">
        <v>0</v>
      </c>
      <c r="W18" s="37">
        <v>0</v>
      </c>
      <c r="X18" s="38">
        <v>3</v>
      </c>
      <c r="Y18" s="38">
        <v>0</v>
      </c>
      <c r="Z18" s="39">
        <v>4</v>
      </c>
      <c r="AA18" s="40">
        <v>36</v>
      </c>
      <c r="AB18" s="58" t="s">
        <v>18</v>
      </c>
      <c r="AC18" s="59" t="s">
        <v>18</v>
      </c>
      <c r="AD18" s="57" t="s">
        <v>20</v>
      </c>
      <c r="AE18" s="57" t="s">
        <v>20</v>
      </c>
      <c r="AF18" s="57" t="s">
        <v>20</v>
      </c>
      <c r="AG18" s="64" t="s">
        <v>18</v>
      </c>
      <c r="AH18" s="64" t="s">
        <v>18</v>
      </c>
      <c r="AI18" s="36">
        <v>0</v>
      </c>
      <c r="AJ18" s="37">
        <v>0</v>
      </c>
      <c r="AK18" s="37">
        <v>0</v>
      </c>
      <c r="AL18" s="37">
        <v>0</v>
      </c>
      <c r="AM18" s="37">
        <v>0</v>
      </c>
      <c r="AN18" s="38">
        <v>4</v>
      </c>
      <c r="AO18" s="38">
        <v>0</v>
      </c>
      <c r="AP18" s="39">
        <v>3</v>
      </c>
      <c r="AQ18" s="40">
        <f t="shared" ref="AQ18:AQ19" si="13">(10*AI18)+(8*AJ18)+(9*AK18)+(12*AL18)+(11*AM18)+(12*AN18)+(9*AO18)</f>
        <v>48</v>
      </c>
      <c r="AR18" s="66" t="s">
        <v>20</v>
      </c>
      <c r="AS18" s="57" t="s">
        <v>20</v>
      </c>
      <c r="AT18" s="33" t="s">
        <v>18</v>
      </c>
      <c r="AU18" s="33" t="s">
        <v>18</v>
      </c>
      <c r="AV18" s="33" t="s">
        <v>18</v>
      </c>
      <c r="AW18" s="43" t="s">
        <v>20</v>
      </c>
      <c r="AX18" s="60" t="s">
        <v>20</v>
      </c>
      <c r="AY18" s="36">
        <v>0</v>
      </c>
      <c r="AZ18" s="37">
        <v>0</v>
      </c>
      <c r="BA18" s="37">
        <v>0</v>
      </c>
      <c r="BB18" s="37">
        <v>0</v>
      </c>
      <c r="BC18" s="37">
        <v>0</v>
      </c>
      <c r="BD18" s="38">
        <v>0</v>
      </c>
      <c r="BE18" s="38">
        <v>0</v>
      </c>
      <c r="BF18" s="39">
        <v>2</v>
      </c>
      <c r="BG18" s="40">
        <f t="shared" ref="BG18:BG19" si="14">(10*AY18)+(8*AZ18)+(9*BA18)+(12*BB18)+(11*BC18)+(12*BD18)+(9*BE18)</f>
        <v>0</v>
      </c>
      <c r="BH18" s="72" t="s">
        <v>18</v>
      </c>
      <c r="BI18" s="72" t="s">
        <v>18</v>
      </c>
      <c r="BJ18" s="80" t="s">
        <v>20</v>
      </c>
      <c r="BK18" s="80" t="s">
        <v>20</v>
      </c>
      <c r="BL18" s="80" t="s">
        <v>20</v>
      </c>
      <c r="BM18" s="154" t="s">
        <v>18</v>
      </c>
      <c r="BN18" s="36">
        <v>0</v>
      </c>
      <c r="BO18" s="37">
        <v>0</v>
      </c>
      <c r="BP18" s="37">
        <v>0</v>
      </c>
      <c r="BQ18" s="37">
        <v>0</v>
      </c>
      <c r="BR18" s="37">
        <v>0</v>
      </c>
      <c r="BS18" s="38">
        <v>3</v>
      </c>
      <c r="BT18" s="38">
        <v>0</v>
      </c>
      <c r="BU18" s="39">
        <v>3</v>
      </c>
      <c r="BV18" s="40">
        <f>(10*BN18)+(8*BO18)+(9*BP18)+(12*BQ18)+(11*BR18)+(12*BS18)+(9*BT18)</f>
        <v>36</v>
      </c>
      <c r="BW18" s="49">
        <f t="shared" si="10"/>
        <v>0</v>
      </c>
      <c r="BX18" s="49">
        <f t="shared" si="10"/>
        <v>0</v>
      </c>
      <c r="BY18" s="49">
        <f t="shared" si="10"/>
        <v>0</v>
      </c>
      <c r="BZ18" s="49">
        <f t="shared" si="10"/>
        <v>0</v>
      </c>
      <c r="CA18" s="49">
        <f t="shared" si="10"/>
        <v>0</v>
      </c>
      <c r="CB18" s="49">
        <f t="shared" si="10"/>
        <v>10</v>
      </c>
      <c r="CC18" s="49">
        <f t="shared" si="10"/>
        <v>0</v>
      </c>
      <c r="CD18" s="49">
        <f t="shared" si="10"/>
        <v>12</v>
      </c>
      <c r="CE18" s="50">
        <f>SUM(BW18:CC18)</f>
        <v>10</v>
      </c>
      <c r="CF18" s="51">
        <f>SUM(K18,AA18,AQ18,BG18,BV18)</f>
        <v>120</v>
      </c>
      <c r="CG18" s="52">
        <f>CF18-180</f>
        <v>-60</v>
      </c>
    </row>
    <row r="19" spans="1:85" x14ac:dyDescent="0.25">
      <c r="A19" s="99" t="s">
        <v>32</v>
      </c>
      <c r="B19" s="43" t="s">
        <v>18</v>
      </c>
      <c r="C19" s="36">
        <v>0</v>
      </c>
      <c r="D19" s="37">
        <v>0</v>
      </c>
      <c r="E19" s="37">
        <v>0</v>
      </c>
      <c r="F19" s="37">
        <v>0</v>
      </c>
      <c r="G19" s="117">
        <v>0</v>
      </c>
      <c r="H19" s="38">
        <v>1</v>
      </c>
      <c r="I19" s="38">
        <v>0</v>
      </c>
      <c r="J19" s="39">
        <v>0</v>
      </c>
      <c r="K19" s="40">
        <v>12</v>
      </c>
      <c r="L19" s="57" t="s">
        <v>20</v>
      </c>
      <c r="M19" s="57" t="s">
        <v>20</v>
      </c>
      <c r="N19" s="33" t="s">
        <v>18</v>
      </c>
      <c r="O19" s="33" t="s">
        <v>18</v>
      </c>
      <c r="P19" s="33" t="s">
        <v>18</v>
      </c>
      <c r="Q19" s="43" t="s">
        <v>20</v>
      </c>
      <c r="R19" s="43" t="s">
        <v>20</v>
      </c>
      <c r="S19" s="36">
        <v>0</v>
      </c>
      <c r="T19" s="37">
        <v>0</v>
      </c>
      <c r="U19" s="37">
        <v>0</v>
      </c>
      <c r="V19" s="37">
        <v>0</v>
      </c>
      <c r="W19" s="37">
        <v>0</v>
      </c>
      <c r="X19" s="38">
        <v>3</v>
      </c>
      <c r="Y19" s="38">
        <v>0</v>
      </c>
      <c r="Z19" s="39">
        <v>4</v>
      </c>
      <c r="AA19" s="40">
        <v>36</v>
      </c>
      <c r="AB19" s="58" t="s">
        <v>18</v>
      </c>
      <c r="AC19" s="59" t="s">
        <v>18</v>
      </c>
      <c r="AD19" s="57" t="s">
        <v>20</v>
      </c>
      <c r="AE19" s="57" t="s">
        <v>20</v>
      </c>
      <c r="AF19" s="57" t="s">
        <v>20</v>
      </c>
      <c r="AG19" s="64" t="s">
        <v>18</v>
      </c>
      <c r="AH19" s="64" t="s">
        <v>18</v>
      </c>
      <c r="AI19" s="36">
        <v>0</v>
      </c>
      <c r="AJ19" s="37">
        <v>0</v>
      </c>
      <c r="AK19" s="37">
        <v>0</v>
      </c>
      <c r="AL19" s="37">
        <v>0</v>
      </c>
      <c r="AM19" s="37">
        <v>0</v>
      </c>
      <c r="AN19" s="38">
        <v>4</v>
      </c>
      <c r="AO19" s="38">
        <v>0</v>
      </c>
      <c r="AP19" s="39">
        <v>3</v>
      </c>
      <c r="AQ19" s="40">
        <f t="shared" si="13"/>
        <v>48</v>
      </c>
      <c r="AR19" s="66" t="s">
        <v>20</v>
      </c>
      <c r="AS19" s="57" t="s">
        <v>20</v>
      </c>
      <c r="AT19" s="33" t="s">
        <v>18</v>
      </c>
      <c r="AU19" s="33" t="s">
        <v>18</v>
      </c>
      <c r="AV19" s="42" t="s">
        <v>18</v>
      </c>
      <c r="AW19" s="43" t="s">
        <v>20</v>
      </c>
      <c r="AX19" s="60" t="s">
        <v>20</v>
      </c>
      <c r="AY19" s="36">
        <v>0</v>
      </c>
      <c r="AZ19" s="37">
        <v>0</v>
      </c>
      <c r="BA19" s="37">
        <v>0</v>
      </c>
      <c r="BB19" s="37">
        <v>0</v>
      </c>
      <c r="BC19" s="37">
        <v>0</v>
      </c>
      <c r="BD19" s="38">
        <v>3</v>
      </c>
      <c r="BE19" s="38">
        <v>0</v>
      </c>
      <c r="BF19" s="39">
        <v>4</v>
      </c>
      <c r="BG19" s="40">
        <f t="shared" si="14"/>
        <v>36</v>
      </c>
      <c r="BH19" s="72" t="s">
        <v>18</v>
      </c>
      <c r="BI19" s="72" t="s">
        <v>18</v>
      </c>
      <c r="BJ19" s="80" t="s">
        <v>20</v>
      </c>
      <c r="BK19" s="80" t="s">
        <v>20</v>
      </c>
      <c r="BL19" s="80" t="s">
        <v>20</v>
      </c>
      <c r="BM19" s="154" t="s">
        <v>18</v>
      </c>
      <c r="BN19" s="36">
        <v>0</v>
      </c>
      <c r="BO19" s="37">
        <v>0</v>
      </c>
      <c r="BP19" s="37">
        <v>0</v>
      </c>
      <c r="BQ19" s="37">
        <v>0</v>
      </c>
      <c r="BR19" s="37">
        <v>0</v>
      </c>
      <c r="BS19" s="38">
        <v>3</v>
      </c>
      <c r="BT19" s="38">
        <v>0</v>
      </c>
      <c r="BU19" s="39">
        <v>3</v>
      </c>
      <c r="BV19" s="40">
        <f>(10*BN19)+(8*BO19)+(9*BP19)+(12*BQ19)+(11*BR19)+(12*BS19)+(9*BT19)</f>
        <v>36</v>
      </c>
      <c r="BW19" s="49">
        <f t="shared" si="10"/>
        <v>0</v>
      </c>
      <c r="BX19" s="49">
        <f t="shared" si="10"/>
        <v>0</v>
      </c>
      <c r="BY19" s="49">
        <f t="shared" si="10"/>
        <v>0</v>
      </c>
      <c r="BZ19" s="49">
        <f t="shared" si="10"/>
        <v>0</v>
      </c>
      <c r="CA19" s="49">
        <f t="shared" si="10"/>
        <v>0</v>
      </c>
      <c r="CB19" s="49">
        <f t="shared" si="10"/>
        <v>14</v>
      </c>
      <c r="CC19" s="49">
        <f t="shared" si="10"/>
        <v>0</v>
      </c>
      <c r="CD19" s="49">
        <f t="shared" si="10"/>
        <v>14</v>
      </c>
      <c r="CE19" s="50">
        <f>SUM(BW19:CC19)</f>
        <v>14</v>
      </c>
      <c r="CF19" s="51">
        <f>SUM(K19,AA19,AQ19,BG19,BV19)</f>
        <v>168</v>
      </c>
      <c r="CG19" s="52">
        <f>CF19-180</f>
        <v>-12</v>
      </c>
    </row>
    <row r="20" spans="1:85" x14ac:dyDescent="0.25">
      <c r="A20" s="31" t="s">
        <v>33</v>
      </c>
      <c r="B20" s="168" t="s">
        <v>20</v>
      </c>
      <c r="C20" s="36">
        <v>0</v>
      </c>
      <c r="D20" s="37">
        <v>0</v>
      </c>
      <c r="E20" s="37">
        <v>0</v>
      </c>
      <c r="F20" s="37">
        <v>0</v>
      </c>
      <c r="G20" s="37">
        <v>0</v>
      </c>
      <c r="H20" s="38">
        <v>0</v>
      </c>
      <c r="I20" s="38">
        <v>0</v>
      </c>
      <c r="J20" s="39">
        <v>0</v>
      </c>
      <c r="K20" s="40">
        <v>0</v>
      </c>
      <c r="L20" s="33" t="s">
        <v>18</v>
      </c>
      <c r="M20" s="33" t="s">
        <v>18</v>
      </c>
      <c r="N20" s="57" t="s">
        <v>20</v>
      </c>
      <c r="O20" s="57" t="s">
        <v>20</v>
      </c>
      <c r="P20" s="57" t="s">
        <v>20</v>
      </c>
      <c r="Q20" s="64" t="s">
        <v>18</v>
      </c>
      <c r="R20" s="64" t="s">
        <v>18</v>
      </c>
      <c r="S20" s="36">
        <v>0</v>
      </c>
      <c r="T20" s="37">
        <v>0</v>
      </c>
      <c r="U20" s="37">
        <v>0</v>
      </c>
      <c r="V20" s="37">
        <v>0</v>
      </c>
      <c r="W20" s="37">
        <v>0</v>
      </c>
      <c r="X20" s="38">
        <v>4</v>
      </c>
      <c r="Y20" s="38">
        <v>0</v>
      </c>
      <c r="Z20" s="39">
        <v>3</v>
      </c>
      <c r="AA20" s="40">
        <v>48</v>
      </c>
      <c r="AB20" s="66" t="s">
        <v>20</v>
      </c>
      <c r="AC20" s="67" t="s">
        <v>20</v>
      </c>
      <c r="AD20" s="33" t="s">
        <v>18</v>
      </c>
      <c r="AE20" s="33" t="s">
        <v>18</v>
      </c>
      <c r="AF20" s="33" t="s">
        <v>18</v>
      </c>
      <c r="AG20" s="43" t="s">
        <v>20</v>
      </c>
      <c r="AH20" s="44" t="s">
        <v>20</v>
      </c>
      <c r="AI20" s="36">
        <v>0</v>
      </c>
      <c r="AJ20" s="37">
        <v>0</v>
      </c>
      <c r="AK20" s="37">
        <v>0</v>
      </c>
      <c r="AL20" s="37">
        <v>0</v>
      </c>
      <c r="AM20" s="37">
        <v>0</v>
      </c>
      <c r="AN20" s="38">
        <v>3</v>
      </c>
      <c r="AO20" s="38">
        <v>0</v>
      </c>
      <c r="AP20" s="39">
        <v>4</v>
      </c>
      <c r="AQ20" s="40">
        <f>(10*AI20)+(8*AJ20)+(9*AK20)+(12*AL20)+(11*AM20)+(12*AN20)+(9*AO20)</f>
        <v>36</v>
      </c>
      <c r="AR20" s="58" t="s">
        <v>18</v>
      </c>
      <c r="AS20" s="59" t="s">
        <v>18</v>
      </c>
      <c r="AT20" s="57" t="s">
        <v>20</v>
      </c>
      <c r="AU20" s="57" t="s">
        <v>20</v>
      </c>
      <c r="AV20" s="57" t="s">
        <v>20</v>
      </c>
      <c r="AW20" s="68" t="s">
        <v>18</v>
      </c>
      <c r="AX20" s="68" t="s">
        <v>18</v>
      </c>
      <c r="AY20" s="36">
        <v>0</v>
      </c>
      <c r="AZ20" s="37">
        <v>0</v>
      </c>
      <c r="BA20" s="37">
        <v>0</v>
      </c>
      <c r="BB20" s="37">
        <v>0</v>
      </c>
      <c r="BC20" s="37">
        <v>0</v>
      </c>
      <c r="BD20" s="38">
        <v>4</v>
      </c>
      <c r="BE20" s="38">
        <v>0</v>
      </c>
      <c r="BF20" s="39">
        <v>3</v>
      </c>
      <c r="BG20" s="61">
        <f>(10*AY20)+(8*AZ20)+(9*BA20)+(12*BB20)+(11*BC20)+(12*BD20)+(9*BE20)</f>
        <v>48</v>
      </c>
      <c r="BH20" s="69" t="s">
        <v>20</v>
      </c>
      <c r="BI20" s="69" t="s">
        <v>20</v>
      </c>
      <c r="BJ20" s="63" t="s">
        <v>18</v>
      </c>
      <c r="BK20" s="63" t="s">
        <v>18</v>
      </c>
      <c r="BL20" s="63" t="s">
        <v>18</v>
      </c>
      <c r="BM20" s="110" t="s">
        <v>20</v>
      </c>
      <c r="BN20" s="36">
        <v>0</v>
      </c>
      <c r="BO20" s="37">
        <v>0</v>
      </c>
      <c r="BP20" s="37">
        <v>0</v>
      </c>
      <c r="BQ20" s="37">
        <v>0</v>
      </c>
      <c r="BR20" s="37">
        <v>0</v>
      </c>
      <c r="BS20" s="38">
        <v>3</v>
      </c>
      <c r="BT20" s="38">
        <v>0</v>
      </c>
      <c r="BU20" s="39">
        <v>3</v>
      </c>
      <c r="BV20" s="40">
        <f t="shared" ref="BV20" si="15">(10*BN20)+(8*BO20)+(9*BP20)+(12*BQ20)+(11*BR20)+(12*BS20)+(9*BT20)</f>
        <v>36</v>
      </c>
      <c r="BW20" s="49">
        <f t="shared" si="10"/>
        <v>0</v>
      </c>
      <c r="BX20" s="49">
        <f t="shared" si="10"/>
        <v>0</v>
      </c>
      <c r="BY20" s="49">
        <f t="shared" si="10"/>
        <v>0</v>
      </c>
      <c r="BZ20" s="49">
        <f t="shared" si="10"/>
        <v>0</v>
      </c>
      <c r="CA20" s="49">
        <f t="shared" si="10"/>
        <v>0</v>
      </c>
      <c r="CB20" s="49">
        <f t="shared" si="10"/>
        <v>14</v>
      </c>
      <c r="CC20" s="49">
        <f t="shared" si="10"/>
        <v>0</v>
      </c>
      <c r="CD20" s="49">
        <f t="shared" si="10"/>
        <v>13</v>
      </c>
      <c r="CE20" s="50">
        <f t="shared" ref="CE20" si="16">SUM(BW20:CC20)</f>
        <v>14</v>
      </c>
      <c r="CF20" s="51">
        <f>SUM(K20,AA20,AQ20,BG20,BV20)</f>
        <v>168</v>
      </c>
      <c r="CG20" s="52">
        <f t="shared" ref="CG20" si="17">CF20-180</f>
        <v>-12</v>
      </c>
    </row>
    <row r="21" spans="1:85" x14ac:dyDescent="0.25">
      <c r="A21" s="89"/>
      <c r="B21" s="89"/>
      <c r="C21" s="87"/>
      <c r="D21" s="87"/>
      <c r="E21" s="87"/>
      <c r="F21" s="87"/>
      <c r="G21" s="87"/>
      <c r="H21" s="87"/>
      <c r="I21" s="87"/>
      <c r="J21" s="87"/>
      <c r="K21" s="100"/>
      <c r="L21" s="100"/>
      <c r="M21" s="85"/>
      <c r="N21" s="85"/>
      <c r="O21" s="85"/>
      <c r="P21" s="100"/>
      <c r="Q21" s="100"/>
      <c r="R21" s="87"/>
      <c r="S21" s="87"/>
      <c r="T21" s="87"/>
      <c r="U21" s="87"/>
      <c r="V21" s="87"/>
      <c r="W21" s="87"/>
      <c r="X21" s="87"/>
      <c r="Y21" s="87"/>
      <c r="Z21" s="87"/>
      <c r="AA21" s="85"/>
      <c r="AB21" s="100"/>
      <c r="AC21" s="85"/>
      <c r="AD21" s="100"/>
      <c r="AE21" s="100"/>
      <c r="AF21" s="85"/>
      <c r="AG21" s="85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5"/>
      <c r="AS21" s="100"/>
      <c r="AT21" s="85"/>
      <c r="AU21" s="85"/>
      <c r="AV21" s="85"/>
      <c r="AW21" s="85"/>
      <c r="AX21" s="85"/>
      <c r="AY21" s="85"/>
      <c r="AZ21" s="100"/>
      <c r="BA21" s="100"/>
      <c r="BB21" s="87"/>
      <c r="BC21" s="87"/>
      <c r="BD21" s="87"/>
      <c r="BE21" s="87"/>
      <c r="BF21" s="87"/>
      <c r="BG21" s="100"/>
      <c r="BH21" s="100"/>
      <c r="BI21" s="100"/>
      <c r="BJ21" s="100"/>
      <c r="BK21" s="100"/>
      <c r="BL21" s="100"/>
      <c r="BM21" s="100"/>
    </row>
    <row r="22" spans="1:85" x14ac:dyDescent="0.25">
      <c r="C22" s="87"/>
      <c r="D22" s="87"/>
      <c r="E22" s="87"/>
      <c r="F22" s="87"/>
      <c r="G22" s="87"/>
      <c r="H22" s="87"/>
      <c r="I22" s="87"/>
      <c r="J22" s="87"/>
      <c r="K22" s="100"/>
      <c r="L22" s="100"/>
      <c r="M22" s="85"/>
      <c r="N22" s="85"/>
      <c r="O22" s="85"/>
      <c r="P22" s="100"/>
      <c r="Q22" s="100"/>
      <c r="R22" s="87"/>
      <c r="S22" s="87"/>
      <c r="T22" s="87"/>
      <c r="U22" s="87"/>
      <c r="V22" s="87"/>
      <c r="W22" s="87"/>
      <c r="X22" s="87"/>
      <c r="Y22" s="87"/>
      <c r="Z22" s="87"/>
      <c r="AA22" s="85"/>
      <c r="AB22" s="100"/>
      <c r="AC22" s="85"/>
      <c r="AD22" s="100"/>
      <c r="AE22" s="100"/>
      <c r="AF22" s="85"/>
      <c r="AG22" s="85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5"/>
      <c r="AS22" s="100"/>
      <c r="AT22" s="85"/>
      <c r="AU22" s="85"/>
      <c r="AV22" s="85"/>
      <c r="AW22" s="85"/>
      <c r="AX22" s="85"/>
      <c r="AY22" s="85"/>
      <c r="AZ22" s="100"/>
      <c r="BA22" s="100"/>
      <c r="BB22" s="87"/>
      <c r="BC22" s="87"/>
      <c r="BD22" s="87"/>
      <c r="BE22" s="87"/>
      <c r="BF22" s="87"/>
      <c r="BG22" s="100"/>
      <c r="BH22" s="100"/>
      <c r="BI22" s="100"/>
      <c r="BJ22" s="100"/>
      <c r="BK22" s="100"/>
      <c r="BL22" s="100"/>
      <c r="BM22" s="100"/>
    </row>
    <row r="23" spans="1:85" x14ac:dyDescent="0.25">
      <c r="C23" s="87"/>
      <c r="D23" s="87"/>
      <c r="E23" s="87"/>
      <c r="F23" s="87"/>
      <c r="G23" s="87"/>
      <c r="H23" s="87"/>
      <c r="I23" s="87"/>
      <c r="J23" s="87"/>
      <c r="K23" s="100"/>
      <c r="L23" s="100"/>
      <c r="M23" s="85"/>
      <c r="N23" s="85"/>
      <c r="O23" s="85"/>
      <c r="P23" s="100"/>
      <c r="Q23" s="100"/>
      <c r="R23" s="87"/>
      <c r="S23" s="87"/>
      <c r="T23" s="87"/>
      <c r="U23" s="87"/>
      <c r="V23" s="87"/>
      <c r="W23" s="87"/>
      <c r="X23" s="87"/>
      <c r="Y23" s="87"/>
      <c r="Z23" s="87"/>
      <c r="AA23" s="85"/>
      <c r="AB23" s="100"/>
      <c r="AC23" s="85"/>
      <c r="AD23" s="100"/>
      <c r="AE23" s="100"/>
      <c r="AF23" s="85"/>
      <c r="AG23" s="85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5"/>
      <c r="AS23" s="100"/>
      <c r="AT23" s="85"/>
      <c r="AU23" s="85"/>
      <c r="AV23" s="85"/>
      <c r="AW23" s="85"/>
      <c r="AX23" s="85"/>
      <c r="AY23" s="85"/>
      <c r="AZ23" s="100"/>
      <c r="BA23" s="100"/>
      <c r="BB23" s="87"/>
      <c r="BC23" s="87"/>
      <c r="BD23" s="87"/>
      <c r="BE23" s="87"/>
      <c r="BF23" s="87"/>
      <c r="BG23" s="100"/>
      <c r="BH23" s="100"/>
      <c r="BI23" s="100"/>
      <c r="BJ23" s="100"/>
      <c r="BK23" s="100"/>
      <c r="BL23" s="100"/>
      <c r="BM23" s="100"/>
    </row>
    <row r="24" spans="1:85" x14ac:dyDescent="0.25">
      <c r="A24" s="118" t="s">
        <v>45</v>
      </c>
      <c r="B24" s="169" t="s">
        <v>20</v>
      </c>
      <c r="C24" s="37">
        <v>0</v>
      </c>
      <c r="D24" s="37">
        <v>0</v>
      </c>
      <c r="E24" s="37">
        <v>1</v>
      </c>
      <c r="F24" s="37">
        <v>0</v>
      </c>
      <c r="G24" s="37">
        <v>0</v>
      </c>
      <c r="H24" s="37">
        <v>0</v>
      </c>
      <c r="I24" s="37">
        <v>0</v>
      </c>
      <c r="J24" s="37">
        <v>1</v>
      </c>
      <c r="K24" s="40">
        <v>9</v>
      </c>
      <c r="L24" s="55" t="s">
        <v>15</v>
      </c>
      <c r="M24" s="53" t="s">
        <v>15</v>
      </c>
      <c r="N24" s="53" t="s">
        <v>15</v>
      </c>
      <c r="O24" s="53" t="s">
        <v>15</v>
      </c>
      <c r="P24" s="53" t="s">
        <v>15</v>
      </c>
      <c r="Q24" s="43" t="s">
        <v>20</v>
      </c>
      <c r="R24" s="44" t="s">
        <v>20</v>
      </c>
      <c r="S24" s="36">
        <v>0</v>
      </c>
      <c r="T24" s="37">
        <v>0</v>
      </c>
      <c r="U24" s="37">
        <v>5</v>
      </c>
      <c r="V24" s="37">
        <v>0</v>
      </c>
      <c r="W24" s="37">
        <v>0</v>
      </c>
      <c r="X24" s="38">
        <v>0</v>
      </c>
      <c r="Y24" s="38">
        <v>0</v>
      </c>
      <c r="Z24" s="39">
        <v>2</v>
      </c>
      <c r="AA24" s="40">
        <v>45</v>
      </c>
      <c r="AB24" s="41" t="s">
        <v>15</v>
      </c>
      <c r="AC24" s="42" t="s">
        <v>15</v>
      </c>
      <c r="AD24" s="42" t="s">
        <v>15</v>
      </c>
      <c r="AE24" s="56" t="s">
        <v>15</v>
      </c>
      <c r="AF24" s="101" t="s">
        <v>15</v>
      </c>
      <c r="AG24" s="43" t="s">
        <v>20</v>
      </c>
      <c r="AH24" s="44" t="s">
        <v>20</v>
      </c>
      <c r="AI24" s="36">
        <v>0</v>
      </c>
      <c r="AJ24" s="37">
        <v>0</v>
      </c>
      <c r="AK24" s="37">
        <v>5</v>
      </c>
      <c r="AL24" s="37">
        <v>0</v>
      </c>
      <c r="AM24" s="37">
        <v>0</v>
      </c>
      <c r="AN24" s="38">
        <v>0</v>
      </c>
      <c r="AO24" s="38">
        <v>0</v>
      </c>
      <c r="AP24" s="39">
        <v>2</v>
      </c>
      <c r="AQ24" s="40">
        <v>45</v>
      </c>
      <c r="AR24" s="41" t="s">
        <v>15</v>
      </c>
      <c r="AS24" s="42" t="s">
        <v>15</v>
      </c>
      <c r="AT24" s="42" t="s">
        <v>15</v>
      </c>
      <c r="AU24" s="33" t="s">
        <v>15</v>
      </c>
      <c r="AV24" s="33" t="s">
        <v>15</v>
      </c>
      <c r="AW24" s="43" t="s">
        <v>20</v>
      </c>
      <c r="AX24" s="60" t="s">
        <v>20</v>
      </c>
      <c r="AY24" s="36">
        <v>0</v>
      </c>
      <c r="AZ24" s="37">
        <v>0</v>
      </c>
      <c r="BA24" s="37">
        <v>5</v>
      </c>
      <c r="BB24" s="37">
        <v>0</v>
      </c>
      <c r="BC24" s="37">
        <v>0</v>
      </c>
      <c r="BD24" s="38">
        <v>0</v>
      </c>
      <c r="BE24" s="38">
        <v>0</v>
      </c>
      <c r="BF24" s="39">
        <v>2</v>
      </c>
      <c r="BG24" s="40">
        <v>45</v>
      </c>
      <c r="BH24" s="102" t="s">
        <v>15</v>
      </c>
      <c r="BI24" s="70" t="s">
        <v>15</v>
      </c>
      <c r="BJ24" s="70" t="s">
        <v>15</v>
      </c>
      <c r="BK24" s="70" t="s">
        <v>15</v>
      </c>
      <c r="BL24" s="70" t="s">
        <v>15</v>
      </c>
      <c r="BM24" s="77" t="s">
        <v>20</v>
      </c>
      <c r="BN24" s="36">
        <v>0</v>
      </c>
      <c r="BO24" s="37">
        <v>0</v>
      </c>
      <c r="BP24" s="37">
        <v>5</v>
      </c>
      <c r="BQ24" s="37">
        <v>0</v>
      </c>
      <c r="BR24" s="37">
        <v>0</v>
      </c>
      <c r="BS24" s="38">
        <v>0</v>
      </c>
      <c r="BT24" s="38">
        <v>0</v>
      </c>
      <c r="BU24" s="39">
        <v>1</v>
      </c>
      <c r="BV24" s="40">
        <v>45</v>
      </c>
      <c r="BW24" s="49">
        <v>0</v>
      </c>
      <c r="BX24" s="49">
        <v>0</v>
      </c>
      <c r="BY24" s="49">
        <v>21</v>
      </c>
      <c r="BZ24" s="49">
        <v>0</v>
      </c>
      <c r="CA24" s="49">
        <v>0</v>
      </c>
      <c r="CB24" s="49">
        <v>0</v>
      </c>
      <c r="CC24" s="49">
        <v>0</v>
      </c>
      <c r="CD24" s="49">
        <v>10</v>
      </c>
      <c r="CE24" s="50">
        <v>21</v>
      </c>
      <c r="CF24" s="51">
        <v>192</v>
      </c>
      <c r="CG24" s="52">
        <v>12</v>
      </c>
    </row>
    <row r="25" spans="1:85" x14ac:dyDescent="0.25">
      <c r="A25" s="118" t="s">
        <v>34</v>
      </c>
      <c r="B25" s="169" t="s">
        <v>20</v>
      </c>
      <c r="C25" s="37">
        <v>0</v>
      </c>
      <c r="D25" s="37">
        <v>0</v>
      </c>
      <c r="E25" s="37">
        <v>1</v>
      </c>
      <c r="F25" s="37">
        <v>0</v>
      </c>
      <c r="G25" s="37">
        <v>0</v>
      </c>
      <c r="H25" s="37">
        <v>0</v>
      </c>
      <c r="I25" s="37">
        <v>0</v>
      </c>
      <c r="J25" s="37">
        <v>1</v>
      </c>
      <c r="K25" s="40">
        <v>9</v>
      </c>
      <c r="L25" s="55" t="s">
        <v>15</v>
      </c>
      <c r="M25" s="53" t="s">
        <v>15</v>
      </c>
      <c r="N25" s="53" t="s">
        <v>15</v>
      </c>
      <c r="O25" s="53" t="s">
        <v>15</v>
      </c>
      <c r="P25" s="53" t="s">
        <v>15</v>
      </c>
      <c r="Q25" s="43" t="s">
        <v>20</v>
      </c>
      <c r="R25" s="44" t="s">
        <v>20</v>
      </c>
      <c r="S25" s="36">
        <v>0</v>
      </c>
      <c r="T25" s="37">
        <v>0</v>
      </c>
      <c r="U25" s="37">
        <v>5</v>
      </c>
      <c r="V25" s="37">
        <v>0</v>
      </c>
      <c r="W25" s="37">
        <v>0</v>
      </c>
      <c r="X25" s="38">
        <v>0</v>
      </c>
      <c r="Y25" s="38">
        <v>0</v>
      </c>
      <c r="Z25" s="39">
        <v>2</v>
      </c>
      <c r="AA25" s="40">
        <v>45</v>
      </c>
      <c r="AB25" s="41" t="s">
        <v>15</v>
      </c>
      <c r="AC25" s="42" t="s">
        <v>15</v>
      </c>
      <c r="AD25" s="42" t="s">
        <v>15</v>
      </c>
      <c r="AE25" s="56" t="s">
        <v>15</v>
      </c>
      <c r="AF25" s="101" t="s">
        <v>15</v>
      </c>
      <c r="AG25" s="43" t="s">
        <v>20</v>
      </c>
      <c r="AH25" s="44" t="s">
        <v>20</v>
      </c>
      <c r="AI25" s="36">
        <v>0</v>
      </c>
      <c r="AJ25" s="37">
        <v>0</v>
      </c>
      <c r="AK25" s="37">
        <v>5</v>
      </c>
      <c r="AL25" s="37">
        <v>0</v>
      </c>
      <c r="AM25" s="37">
        <v>0</v>
      </c>
      <c r="AN25" s="38">
        <v>0</v>
      </c>
      <c r="AO25" s="38">
        <v>0</v>
      </c>
      <c r="AP25" s="39">
        <v>2</v>
      </c>
      <c r="AQ25" s="40">
        <v>45</v>
      </c>
      <c r="AR25" s="41" t="s">
        <v>15</v>
      </c>
      <c r="AS25" s="42" t="s">
        <v>15</v>
      </c>
      <c r="AT25" s="42" t="s">
        <v>15</v>
      </c>
      <c r="AU25" s="33" t="s">
        <v>15</v>
      </c>
      <c r="AV25" s="33" t="s">
        <v>15</v>
      </c>
      <c r="AW25" s="43" t="s">
        <v>20</v>
      </c>
      <c r="AX25" s="60" t="s">
        <v>20</v>
      </c>
      <c r="AY25" s="36">
        <v>0</v>
      </c>
      <c r="AZ25" s="37">
        <v>0</v>
      </c>
      <c r="BA25" s="37">
        <v>5</v>
      </c>
      <c r="BB25" s="37">
        <v>0</v>
      </c>
      <c r="BC25" s="37">
        <v>0</v>
      </c>
      <c r="BD25" s="38">
        <v>0</v>
      </c>
      <c r="BE25" s="38">
        <v>0</v>
      </c>
      <c r="BF25" s="39">
        <v>2</v>
      </c>
      <c r="BG25" s="40">
        <v>45</v>
      </c>
      <c r="BH25" s="102" t="s">
        <v>15</v>
      </c>
      <c r="BI25" s="70" t="s">
        <v>15</v>
      </c>
      <c r="BJ25" s="70" t="s">
        <v>15</v>
      </c>
      <c r="BK25" s="70" t="s">
        <v>15</v>
      </c>
      <c r="BL25" s="70" t="s">
        <v>15</v>
      </c>
      <c r="BM25" s="77" t="s">
        <v>20</v>
      </c>
      <c r="BN25" s="36">
        <v>0</v>
      </c>
      <c r="BO25" s="37">
        <v>0</v>
      </c>
      <c r="BP25" s="37">
        <v>5</v>
      </c>
      <c r="BQ25" s="37">
        <v>0</v>
      </c>
      <c r="BR25" s="37">
        <v>0</v>
      </c>
      <c r="BS25" s="38">
        <v>0</v>
      </c>
      <c r="BT25" s="38">
        <v>0</v>
      </c>
      <c r="BU25" s="39">
        <v>1</v>
      </c>
      <c r="BV25" s="40">
        <v>45</v>
      </c>
      <c r="BW25" s="49">
        <v>0</v>
      </c>
      <c r="BX25" s="49">
        <v>0</v>
      </c>
      <c r="BY25" s="49">
        <v>21</v>
      </c>
      <c r="BZ25" s="49">
        <v>0</v>
      </c>
      <c r="CA25" s="49">
        <v>0</v>
      </c>
      <c r="CB25" s="49">
        <v>0</v>
      </c>
      <c r="CC25" s="49">
        <v>0</v>
      </c>
      <c r="CD25" s="49">
        <v>10</v>
      </c>
      <c r="CE25" s="50">
        <v>21</v>
      </c>
      <c r="CF25" s="51">
        <v>192</v>
      </c>
      <c r="CG25" s="52">
        <v>12</v>
      </c>
    </row>
    <row r="26" spans="1:85" x14ac:dyDescent="0.25">
      <c r="B26" s="91"/>
      <c r="C26" s="91"/>
      <c r="D26" s="91"/>
      <c r="E26" s="91"/>
      <c r="F26" s="91"/>
      <c r="G26" s="91"/>
      <c r="H26" s="91"/>
      <c r="I26" s="91"/>
    </row>
    <row r="27" spans="1:85" x14ac:dyDescent="0.25">
      <c r="B27" s="91"/>
      <c r="C27" s="91"/>
      <c r="D27" s="91"/>
      <c r="E27" s="91"/>
      <c r="F27" s="91"/>
      <c r="G27" s="91"/>
      <c r="H27" s="91"/>
      <c r="I27" s="91"/>
      <c r="R27" s="103"/>
    </row>
    <row r="28" spans="1:85" x14ac:dyDescent="0.25">
      <c r="B28" s="91"/>
      <c r="C28" s="91"/>
      <c r="D28" s="91"/>
      <c r="E28" s="91"/>
      <c r="F28" s="91"/>
      <c r="G28" s="91"/>
      <c r="H28" s="91"/>
      <c r="I28" s="91"/>
    </row>
    <row r="29" spans="1:85" x14ac:dyDescent="0.25">
      <c r="A29" s="91" t="s">
        <v>35</v>
      </c>
      <c r="B29" s="91"/>
      <c r="C29" s="91" t="s">
        <v>36</v>
      </c>
      <c r="D29" s="91"/>
      <c r="E29" s="91"/>
      <c r="F29" s="91"/>
      <c r="G29" s="91"/>
      <c r="H29" s="91"/>
      <c r="W29" s="103"/>
      <c r="AI29" s="103"/>
    </row>
    <row r="30" spans="1:85" x14ac:dyDescent="0.25">
      <c r="A30" s="91" t="s">
        <v>37</v>
      </c>
      <c r="B30" s="91"/>
      <c r="C30" s="91" t="s">
        <v>50</v>
      </c>
      <c r="D30" s="91"/>
      <c r="E30" s="91"/>
      <c r="F30" s="92"/>
      <c r="G30" s="92"/>
      <c r="H30" s="91"/>
      <c r="W30" s="103"/>
    </row>
    <row r="31" spans="1:85" x14ac:dyDescent="0.25">
      <c r="A31" s="91" t="s">
        <v>46</v>
      </c>
      <c r="B31" s="91"/>
      <c r="C31" s="91" t="s">
        <v>38</v>
      </c>
      <c r="D31" s="91"/>
      <c r="E31" s="91"/>
      <c r="F31" s="92"/>
      <c r="G31" s="92"/>
      <c r="H31" s="91"/>
      <c r="I31" s="91"/>
      <c r="J31" s="91"/>
      <c r="P31" s="89"/>
      <c r="Q31" s="89"/>
    </row>
    <row r="32" spans="1:85" x14ac:dyDescent="0.25">
      <c r="A32" s="91" t="s">
        <v>39</v>
      </c>
      <c r="B32" s="92"/>
      <c r="C32" s="104" t="s">
        <v>40</v>
      </c>
      <c r="D32" s="91"/>
      <c r="E32" s="91"/>
      <c r="F32" s="92"/>
      <c r="G32" s="92"/>
      <c r="H32" s="91"/>
      <c r="I32" s="91"/>
      <c r="J32" s="91"/>
      <c r="P32" s="91"/>
      <c r="Q32" s="91"/>
    </row>
    <row r="33" spans="1:20" x14ac:dyDescent="0.25">
      <c r="A33" s="91"/>
      <c r="B33" s="92"/>
      <c r="D33" s="91"/>
      <c r="E33" s="91"/>
      <c r="I33" s="91"/>
      <c r="J33" s="91"/>
      <c r="P33" s="91"/>
      <c r="Q33" s="91"/>
    </row>
    <row r="34" spans="1:20" x14ac:dyDescent="0.25">
      <c r="A34" s="91"/>
      <c r="B34" s="92"/>
      <c r="D34" s="91"/>
      <c r="E34" s="91"/>
      <c r="I34" s="91"/>
      <c r="J34" s="91"/>
      <c r="P34" s="91"/>
      <c r="Q34" s="91"/>
    </row>
    <row r="35" spans="1:20" x14ac:dyDescent="0.25">
      <c r="A35" s="91" t="s">
        <v>47</v>
      </c>
      <c r="B35" s="92"/>
      <c r="C35" s="92" t="s">
        <v>20</v>
      </c>
      <c r="D35" s="91"/>
      <c r="E35" s="91"/>
      <c r="P35" s="91"/>
      <c r="Q35" s="91"/>
    </row>
    <row r="36" spans="1:20" x14ac:dyDescent="0.25">
      <c r="A36" s="119" t="s">
        <v>48</v>
      </c>
      <c r="C36" s="92" t="s">
        <v>41</v>
      </c>
      <c r="T36" s="103"/>
    </row>
    <row r="37" spans="1:20" x14ac:dyDescent="0.25">
      <c r="A37" s="119" t="s">
        <v>49</v>
      </c>
      <c r="C37" s="92" t="s">
        <v>42</v>
      </c>
    </row>
    <row r="38" spans="1:20" x14ac:dyDescent="0.25">
      <c r="A38" s="119" t="s">
        <v>43</v>
      </c>
      <c r="C38" s="92" t="s">
        <v>44</v>
      </c>
    </row>
  </sheetData>
  <mergeCells count="18">
    <mergeCell ref="BW1:CD1"/>
    <mergeCell ref="CE1:CE2"/>
    <mergeCell ref="C15:J15"/>
    <mergeCell ref="S15:Z15"/>
    <mergeCell ref="AI15:AP15"/>
    <mergeCell ref="AY15:BF15"/>
    <mergeCell ref="BN15:BU15"/>
    <mergeCell ref="BW15:CD15"/>
    <mergeCell ref="C1:J1"/>
    <mergeCell ref="S1:Z1"/>
    <mergeCell ref="AI1:AP1"/>
    <mergeCell ref="AY1:BF1"/>
    <mergeCell ref="BN1:BU1"/>
    <mergeCell ref="CF1:CF2"/>
    <mergeCell ref="CG1:CG2"/>
    <mergeCell ref="CE15:CE16"/>
    <mergeCell ref="CF15:CF16"/>
    <mergeCell ref="CG15:CG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3CAA-FEE9-44DD-A7A0-04E8E901ABCD}">
  <dimension ref="A1:CS38"/>
  <sheetViews>
    <sheetView tabSelected="1" workbookViewId="0">
      <selection activeCell="CT5" sqref="CT5"/>
    </sheetView>
  </sheetViews>
  <sheetFormatPr defaultRowHeight="15" x14ac:dyDescent="0.25"/>
  <cols>
    <col min="1" max="1" width="17.28515625" customWidth="1"/>
    <col min="2" max="2" width="3.42578125" customWidth="1"/>
    <col min="3" max="6" width="2.85546875" customWidth="1"/>
    <col min="7" max="7" width="3.5703125" customWidth="1"/>
    <col min="8" max="8" width="2.7109375" customWidth="1"/>
    <col min="9" max="9" width="3.5703125" bestFit="1" customWidth="1"/>
    <col min="10" max="10" width="2.5703125" bestFit="1" customWidth="1"/>
    <col min="11" max="11" width="4.7109375" bestFit="1" customWidth="1"/>
    <col min="12" max="12" width="3.5703125" customWidth="1"/>
    <col min="13" max="13" width="3.42578125" customWidth="1"/>
    <col min="14" max="14" width="3.5703125" customWidth="1"/>
    <col min="15" max="15" width="3" customWidth="1"/>
    <col min="16" max="16" width="3.42578125" customWidth="1"/>
    <col min="17" max="17" width="3.5703125" customWidth="1"/>
    <col min="18" max="18" width="3.85546875" customWidth="1"/>
    <col min="19" max="19" width="2.5703125" bestFit="1" customWidth="1"/>
    <col min="20" max="22" width="2.42578125" bestFit="1" customWidth="1"/>
    <col min="23" max="23" width="3.5703125" bestFit="1" customWidth="1"/>
    <col min="24" max="24" width="2.28515625" bestFit="1" customWidth="1"/>
    <col min="25" max="25" width="3.5703125" bestFit="1" customWidth="1"/>
    <col min="26" max="26" width="2.5703125" bestFit="1" customWidth="1"/>
    <col min="27" max="27" width="4.7109375" bestFit="1" customWidth="1"/>
    <col min="28" max="28" width="4.28515625" customWidth="1"/>
    <col min="29" max="31" width="3.5703125" customWidth="1"/>
    <col min="32" max="32" width="3.42578125" customWidth="1"/>
    <col min="33" max="34" width="3.5703125" customWidth="1"/>
    <col min="35" max="35" width="2.5703125" bestFit="1" customWidth="1"/>
    <col min="36" max="36" width="2.42578125" bestFit="1" customWidth="1"/>
    <col min="37" max="37" width="2.5703125" customWidth="1"/>
    <col min="38" max="38" width="2.42578125" bestFit="1" customWidth="1"/>
    <col min="39" max="39" width="3.5703125" bestFit="1" customWidth="1"/>
    <col min="40" max="40" width="2.28515625" bestFit="1" customWidth="1"/>
    <col min="41" max="41" width="3.5703125" bestFit="1" customWidth="1"/>
    <col min="42" max="42" width="2.5703125" bestFit="1" customWidth="1"/>
    <col min="43" max="43" width="4.7109375" bestFit="1" customWidth="1"/>
    <col min="44" max="44" width="3.85546875" customWidth="1"/>
    <col min="45" max="46" width="3.42578125" customWidth="1"/>
    <col min="47" max="47" width="3.7109375" customWidth="1"/>
    <col min="48" max="48" width="3.140625" customWidth="1"/>
    <col min="49" max="49" width="2.7109375" customWidth="1"/>
    <col min="50" max="50" width="3.140625" customWidth="1"/>
    <col min="51" max="51" width="2.5703125" bestFit="1" customWidth="1"/>
    <col min="52" max="54" width="2.42578125" bestFit="1" customWidth="1"/>
    <col min="55" max="55" width="2.28515625" customWidth="1"/>
    <col min="56" max="56" width="2.28515625" bestFit="1" customWidth="1"/>
    <col min="57" max="57" width="3.5703125" bestFit="1" customWidth="1"/>
    <col min="58" max="58" width="2.5703125" bestFit="1" customWidth="1"/>
    <col min="59" max="59" width="4.7109375" bestFit="1" customWidth="1"/>
    <col min="60" max="60" width="3.42578125" customWidth="1"/>
    <col min="61" max="61" width="3" customWidth="1"/>
    <col min="62" max="62" width="3.140625" customWidth="1"/>
    <col min="63" max="64" width="3.42578125" customWidth="1"/>
    <col min="65" max="65" width="3.140625" customWidth="1"/>
    <col min="66" max="66" width="3.5703125" customWidth="1"/>
    <col min="67" max="67" width="2.5703125" bestFit="1" customWidth="1"/>
    <col min="68" max="70" width="2.42578125" bestFit="1" customWidth="1"/>
    <col min="71" max="71" width="3.5703125" bestFit="1" customWidth="1"/>
    <col min="72" max="72" width="2.28515625" bestFit="1" customWidth="1"/>
    <col min="73" max="73" width="3.5703125" bestFit="1" customWidth="1"/>
    <col min="74" max="74" width="2.5703125" bestFit="1" customWidth="1"/>
    <col min="75" max="75" width="4.7109375" bestFit="1" customWidth="1"/>
    <col min="76" max="76" width="4.7109375" customWidth="1"/>
    <col min="77" max="77" width="4.28515625" style="175" customWidth="1"/>
    <col min="78" max="78" width="2.7109375" bestFit="1" customWidth="1"/>
    <col min="79" max="79" width="2.42578125" bestFit="1" customWidth="1"/>
    <col min="80" max="81" width="2.7109375" bestFit="1" customWidth="1"/>
    <col min="82" max="82" width="3.5703125" bestFit="1" customWidth="1"/>
    <col min="83" max="83" width="2.7109375" bestFit="1" customWidth="1"/>
    <col min="84" max="84" width="3.5703125" bestFit="1" customWidth="1"/>
    <col min="85" max="85" width="2.7109375" bestFit="1" customWidth="1"/>
    <col min="86" max="86" width="4.7109375" bestFit="1" customWidth="1"/>
    <col min="87" max="87" width="2.7109375" bestFit="1" customWidth="1"/>
    <col min="88" max="88" width="2.42578125" bestFit="1" customWidth="1"/>
    <col min="89" max="90" width="2.7109375" bestFit="1" customWidth="1"/>
    <col min="91" max="91" width="3.5703125" bestFit="1" customWidth="1"/>
    <col min="92" max="92" width="3" bestFit="1" customWidth="1"/>
    <col min="93" max="93" width="3.5703125" bestFit="1" customWidth="1"/>
    <col min="94" max="94" width="2.7109375" bestFit="1" customWidth="1"/>
    <col min="95" max="95" width="8.42578125" customWidth="1"/>
    <col min="96" max="96" width="7.5703125" customWidth="1"/>
    <col min="97" max="97" width="6.5703125" customWidth="1"/>
  </cols>
  <sheetData>
    <row r="1" spans="1:97" ht="15.75" thickBot="1" x14ac:dyDescent="0.3"/>
    <row r="2" spans="1:97" ht="15.75" thickBot="1" x14ac:dyDescent="0.3">
      <c r="A2" s="2" t="s">
        <v>0</v>
      </c>
      <c r="B2" s="5" t="s">
        <v>7</v>
      </c>
      <c r="C2" s="226" t="s">
        <v>8</v>
      </c>
      <c r="D2" s="227"/>
      <c r="E2" s="227"/>
      <c r="F2" s="227"/>
      <c r="G2" s="227"/>
      <c r="H2" s="227"/>
      <c r="I2" s="227"/>
      <c r="J2" s="228"/>
      <c r="K2" s="7" t="s">
        <v>9</v>
      </c>
      <c r="L2" s="4" t="s">
        <v>1</v>
      </c>
      <c r="M2" s="4" t="s">
        <v>2</v>
      </c>
      <c r="N2" s="4" t="s">
        <v>3</v>
      </c>
      <c r="O2" s="4" t="s">
        <v>4</v>
      </c>
      <c r="P2" s="4" t="s">
        <v>5</v>
      </c>
      <c r="Q2" s="8" t="s">
        <v>6</v>
      </c>
      <c r="R2" s="9" t="s">
        <v>7</v>
      </c>
      <c r="S2" s="226" t="s">
        <v>8</v>
      </c>
      <c r="T2" s="227"/>
      <c r="U2" s="227"/>
      <c r="V2" s="227"/>
      <c r="W2" s="227"/>
      <c r="X2" s="227"/>
      <c r="Y2" s="227"/>
      <c r="Z2" s="228"/>
      <c r="AA2" s="10" t="s">
        <v>9</v>
      </c>
      <c r="AB2" s="11" t="s">
        <v>1</v>
      </c>
      <c r="AC2" s="4" t="s">
        <v>2</v>
      </c>
      <c r="AD2" s="4" t="s">
        <v>3</v>
      </c>
      <c r="AE2" s="4" t="s">
        <v>4</v>
      </c>
      <c r="AF2" s="4" t="s">
        <v>5</v>
      </c>
      <c r="AG2" s="8" t="s">
        <v>6</v>
      </c>
      <c r="AH2" s="9" t="s">
        <v>7</v>
      </c>
      <c r="AI2" s="226" t="s">
        <v>8</v>
      </c>
      <c r="AJ2" s="227"/>
      <c r="AK2" s="227"/>
      <c r="AL2" s="227"/>
      <c r="AM2" s="227"/>
      <c r="AN2" s="227"/>
      <c r="AO2" s="227"/>
      <c r="AP2" s="228"/>
      <c r="AQ2" s="10" t="s">
        <v>9</v>
      </c>
      <c r="AR2" s="11" t="s">
        <v>1</v>
      </c>
      <c r="AS2" s="4" t="s">
        <v>2</v>
      </c>
      <c r="AT2" s="4" t="s">
        <v>3</v>
      </c>
      <c r="AU2" s="4" t="s">
        <v>4</v>
      </c>
      <c r="AV2" s="4" t="s">
        <v>5</v>
      </c>
      <c r="AW2" s="8" t="s">
        <v>6</v>
      </c>
      <c r="AX2" s="12" t="s">
        <v>7</v>
      </c>
      <c r="AY2" s="226" t="s">
        <v>8</v>
      </c>
      <c r="AZ2" s="227"/>
      <c r="BA2" s="227"/>
      <c r="BB2" s="227"/>
      <c r="BC2" s="227"/>
      <c r="BD2" s="227"/>
      <c r="BE2" s="227"/>
      <c r="BF2" s="228"/>
      <c r="BG2" s="10" t="s">
        <v>9</v>
      </c>
      <c r="BH2" s="13" t="s">
        <v>1</v>
      </c>
      <c r="BI2" s="13" t="s">
        <v>2</v>
      </c>
      <c r="BJ2" s="13" t="s">
        <v>3</v>
      </c>
      <c r="BK2" s="13" t="s">
        <v>4</v>
      </c>
      <c r="BL2" s="13" t="s">
        <v>5</v>
      </c>
      <c r="BM2" s="176" t="s">
        <v>6</v>
      </c>
      <c r="BN2" s="177" t="s">
        <v>7</v>
      </c>
      <c r="BO2" s="226" t="s">
        <v>8</v>
      </c>
      <c r="BP2" s="227"/>
      <c r="BQ2" s="227"/>
      <c r="BR2" s="227"/>
      <c r="BS2" s="227"/>
      <c r="BT2" s="227"/>
      <c r="BU2" s="227"/>
      <c r="BV2" s="228"/>
      <c r="BW2" s="7" t="s">
        <v>9</v>
      </c>
      <c r="BX2" s="170" t="s">
        <v>1</v>
      </c>
      <c r="BY2" s="178" t="s">
        <v>2</v>
      </c>
      <c r="BZ2" s="226" t="s">
        <v>8</v>
      </c>
      <c r="CA2" s="227"/>
      <c r="CB2" s="227"/>
      <c r="CC2" s="227"/>
      <c r="CD2" s="227"/>
      <c r="CE2" s="227"/>
      <c r="CF2" s="227"/>
      <c r="CG2" s="228"/>
      <c r="CH2" s="7" t="s">
        <v>9</v>
      </c>
      <c r="CI2" s="222" t="s">
        <v>8</v>
      </c>
      <c r="CJ2" s="223"/>
      <c r="CK2" s="223"/>
      <c r="CL2" s="223"/>
      <c r="CM2" s="223"/>
      <c r="CN2" s="223"/>
      <c r="CO2" s="223"/>
      <c r="CP2" s="223"/>
      <c r="CQ2" s="224" t="s">
        <v>10</v>
      </c>
      <c r="CR2" s="233" t="s">
        <v>11</v>
      </c>
      <c r="CS2" s="235" t="s">
        <v>12</v>
      </c>
    </row>
    <row r="3" spans="1:97" ht="15.75" thickBot="1" x14ac:dyDescent="0.3">
      <c r="A3" s="17"/>
      <c r="B3" s="24">
        <v>1</v>
      </c>
      <c r="C3" s="19" t="s">
        <v>13</v>
      </c>
      <c r="D3" s="20" t="s">
        <v>14</v>
      </c>
      <c r="E3" s="20" t="s">
        <v>15</v>
      </c>
      <c r="F3" s="20" t="s">
        <v>16</v>
      </c>
      <c r="G3" s="20" t="s">
        <v>17</v>
      </c>
      <c r="H3" s="21" t="s">
        <v>18</v>
      </c>
      <c r="I3" s="21" t="s">
        <v>19</v>
      </c>
      <c r="J3" s="22" t="s">
        <v>20</v>
      </c>
      <c r="K3" s="23"/>
      <c r="L3" s="16">
        <v>2</v>
      </c>
      <c r="M3" s="16">
        <v>3</v>
      </c>
      <c r="N3" s="16">
        <v>4</v>
      </c>
      <c r="O3" s="16">
        <v>5</v>
      </c>
      <c r="P3" s="16">
        <v>6</v>
      </c>
      <c r="Q3" s="24">
        <v>7</v>
      </c>
      <c r="R3" s="24">
        <v>8</v>
      </c>
      <c r="S3" s="19" t="s">
        <v>13</v>
      </c>
      <c r="T3" s="20" t="s">
        <v>14</v>
      </c>
      <c r="U3" s="20" t="s">
        <v>15</v>
      </c>
      <c r="V3" s="20" t="s">
        <v>16</v>
      </c>
      <c r="W3" s="20" t="s">
        <v>17</v>
      </c>
      <c r="X3" s="21" t="s">
        <v>18</v>
      </c>
      <c r="Y3" s="21" t="s">
        <v>19</v>
      </c>
      <c r="Z3" s="22" t="s">
        <v>20</v>
      </c>
      <c r="AA3" s="25"/>
      <c r="AB3" s="17">
        <v>9</v>
      </c>
      <c r="AC3" s="17">
        <v>10</v>
      </c>
      <c r="AD3" s="17">
        <v>11</v>
      </c>
      <c r="AE3" s="17">
        <v>12</v>
      </c>
      <c r="AF3" s="17">
        <v>13</v>
      </c>
      <c r="AG3" s="18">
        <v>14</v>
      </c>
      <c r="AH3" s="18">
        <v>15</v>
      </c>
      <c r="AI3" s="19" t="s">
        <v>13</v>
      </c>
      <c r="AJ3" s="20" t="s">
        <v>14</v>
      </c>
      <c r="AK3" s="20" t="s">
        <v>15</v>
      </c>
      <c r="AL3" s="20" t="s">
        <v>16</v>
      </c>
      <c r="AM3" s="20" t="s">
        <v>17</v>
      </c>
      <c r="AN3" s="21" t="s">
        <v>18</v>
      </c>
      <c r="AO3" s="21" t="s">
        <v>19</v>
      </c>
      <c r="AP3" s="22" t="s">
        <v>20</v>
      </c>
      <c r="AQ3" s="25"/>
      <c r="AR3" s="17">
        <v>16</v>
      </c>
      <c r="AS3" s="16">
        <v>17</v>
      </c>
      <c r="AT3" s="17">
        <v>18</v>
      </c>
      <c r="AU3" s="16">
        <v>19</v>
      </c>
      <c r="AV3" s="17">
        <v>20</v>
      </c>
      <c r="AW3" s="24">
        <v>21</v>
      </c>
      <c r="AX3" s="18">
        <v>22</v>
      </c>
      <c r="AY3" s="19" t="s">
        <v>13</v>
      </c>
      <c r="AZ3" s="20" t="s">
        <v>14</v>
      </c>
      <c r="BA3" s="20" t="s">
        <v>15</v>
      </c>
      <c r="BB3" s="20" t="s">
        <v>16</v>
      </c>
      <c r="BC3" s="20" t="s">
        <v>17</v>
      </c>
      <c r="BD3" s="21" t="s">
        <v>18</v>
      </c>
      <c r="BE3" s="21" t="s">
        <v>19</v>
      </c>
      <c r="BF3" s="22" t="s">
        <v>20</v>
      </c>
      <c r="BG3" s="25"/>
      <c r="BH3" s="26">
        <v>23</v>
      </c>
      <c r="BI3" s="26">
        <v>24</v>
      </c>
      <c r="BJ3" s="26">
        <v>25</v>
      </c>
      <c r="BK3" s="26">
        <v>26</v>
      </c>
      <c r="BL3" s="26">
        <v>27</v>
      </c>
      <c r="BM3" s="179">
        <v>28</v>
      </c>
      <c r="BN3" s="180">
        <v>29</v>
      </c>
      <c r="BO3" s="19" t="s">
        <v>13</v>
      </c>
      <c r="BP3" s="20" t="s">
        <v>14</v>
      </c>
      <c r="BQ3" s="20" t="s">
        <v>15</v>
      </c>
      <c r="BR3" s="20" t="s">
        <v>16</v>
      </c>
      <c r="BS3" s="20" t="s">
        <v>17</v>
      </c>
      <c r="BT3" s="21" t="s">
        <v>18</v>
      </c>
      <c r="BU3" s="21" t="s">
        <v>19</v>
      </c>
      <c r="BV3" s="22" t="s">
        <v>20</v>
      </c>
      <c r="BW3" s="23"/>
      <c r="BX3" s="23">
        <v>30</v>
      </c>
      <c r="BY3" s="181">
        <v>31</v>
      </c>
      <c r="BZ3" s="19" t="s">
        <v>13</v>
      </c>
      <c r="CA3" s="20" t="s">
        <v>14</v>
      </c>
      <c r="CB3" s="20" t="s">
        <v>15</v>
      </c>
      <c r="CC3" s="20" t="s">
        <v>16</v>
      </c>
      <c r="CD3" s="20" t="s">
        <v>17</v>
      </c>
      <c r="CE3" s="21" t="s">
        <v>18</v>
      </c>
      <c r="CF3" s="21" t="s">
        <v>19</v>
      </c>
      <c r="CG3" s="22" t="s">
        <v>20</v>
      </c>
      <c r="CH3" s="23"/>
      <c r="CI3" s="30" t="s">
        <v>13</v>
      </c>
      <c r="CJ3" s="29" t="s">
        <v>14</v>
      </c>
      <c r="CK3" s="29" t="s">
        <v>15</v>
      </c>
      <c r="CL3" s="29" t="s">
        <v>16</v>
      </c>
      <c r="CM3" s="29" t="s">
        <v>17</v>
      </c>
      <c r="CN3" s="30" t="s">
        <v>18</v>
      </c>
      <c r="CO3" s="29" t="s">
        <v>19</v>
      </c>
      <c r="CP3" s="29" t="s">
        <v>20</v>
      </c>
      <c r="CQ3" s="225"/>
      <c r="CR3" s="234"/>
      <c r="CS3" s="236"/>
    </row>
    <row r="4" spans="1:97" x14ac:dyDescent="0.25">
      <c r="A4" s="31"/>
      <c r="B4" s="43"/>
      <c r="C4" s="36"/>
      <c r="D4" s="37"/>
      <c r="E4" s="37"/>
      <c r="F4" s="37"/>
      <c r="G4" s="37"/>
      <c r="H4" s="38"/>
      <c r="I4" s="38"/>
      <c r="J4" s="39"/>
      <c r="K4" s="40"/>
      <c r="L4" s="42"/>
      <c r="M4" s="42"/>
      <c r="N4" s="57"/>
      <c r="O4" s="42"/>
      <c r="P4" s="42"/>
      <c r="Q4" s="43"/>
      <c r="R4" s="44"/>
      <c r="S4" s="36"/>
      <c r="T4" s="37"/>
      <c r="U4" s="37"/>
      <c r="V4" s="37"/>
      <c r="W4" s="37"/>
      <c r="X4" s="38"/>
      <c r="Y4" s="38"/>
      <c r="Z4" s="39"/>
      <c r="AA4" s="40"/>
      <c r="AB4" s="42"/>
      <c r="AC4" s="42"/>
      <c r="AD4" s="42"/>
      <c r="AE4" s="42"/>
      <c r="AF4" s="42"/>
      <c r="AG4" s="43"/>
      <c r="AH4" s="44"/>
      <c r="AI4" s="36"/>
      <c r="AJ4" s="37"/>
      <c r="AK4" s="37"/>
      <c r="AL4" s="37"/>
      <c r="AM4" s="37"/>
      <c r="AN4" s="38"/>
      <c r="AO4" s="38"/>
      <c r="AP4" s="39"/>
      <c r="AQ4" s="40"/>
      <c r="AR4" s="41"/>
      <c r="AS4" s="41"/>
      <c r="AT4" s="41"/>
      <c r="AU4" s="66"/>
      <c r="AV4" s="55"/>
      <c r="AW4" s="43"/>
      <c r="AX4" s="60"/>
      <c r="AY4" s="36"/>
      <c r="AZ4" s="37"/>
      <c r="BA4" s="37"/>
      <c r="BB4" s="37"/>
      <c r="BC4" s="37"/>
      <c r="BD4" s="38"/>
      <c r="BE4" s="38"/>
      <c r="BF4" s="39"/>
      <c r="BG4" s="40"/>
      <c r="BH4" s="182"/>
      <c r="BI4" s="183"/>
      <c r="BJ4" s="183"/>
      <c r="BK4" s="183"/>
      <c r="BL4" s="69"/>
      <c r="BM4" s="109"/>
      <c r="BN4" s="184"/>
      <c r="BO4" s="36"/>
      <c r="BP4" s="37"/>
      <c r="BQ4" s="37"/>
      <c r="BR4" s="37"/>
      <c r="BS4" s="37"/>
      <c r="BT4" s="38"/>
      <c r="BU4" s="38"/>
      <c r="BV4" s="39"/>
      <c r="BW4" s="40"/>
      <c r="BX4" s="212"/>
      <c r="BY4" s="215"/>
      <c r="BZ4" s="36"/>
      <c r="CA4" s="37"/>
      <c r="CB4" s="37"/>
      <c r="CC4" s="37"/>
      <c r="CD4" s="37"/>
      <c r="CE4" s="38"/>
      <c r="CF4" s="38"/>
      <c r="CG4" s="39"/>
      <c r="CH4" s="40"/>
      <c r="CI4" s="49"/>
      <c r="CJ4" s="49"/>
      <c r="CK4" s="49"/>
      <c r="CL4" s="49"/>
      <c r="CM4" s="49"/>
      <c r="CN4" s="49"/>
      <c r="CO4" s="49"/>
      <c r="CP4" s="49"/>
      <c r="CQ4" s="50"/>
      <c r="CR4" s="51"/>
      <c r="CS4" s="52"/>
    </row>
    <row r="5" spans="1:97" x14ac:dyDescent="0.25">
      <c r="A5" s="31" t="s">
        <v>21</v>
      </c>
      <c r="B5" s="43" t="s">
        <v>20</v>
      </c>
      <c r="C5" s="36">
        <v>0</v>
      </c>
      <c r="D5" s="37">
        <v>0</v>
      </c>
      <c r="E5" s="37">
        <v>0</v>
      </c>
      <c r="F5" s="37">
        <v>0</v>
      </c>
      <c r="G5" s="37">
        <v>0</v>
      </c>
      <c r="H5" s="38">
        <v>0</v>
      </c>
      <c r="I5" s="38">
        <v>0</v>
      </c>
      <c r="J5" s="39">
        <v>1</v>
      </c>
      <c r="K5" s="40">
        <v>0</v>
      </c>
      <c r="L5" s="33" t="s">
        <v>18</v>
      </c>
      <c r="M5" s="33" t="s">
        <v>18</v>
      </c>
      <c r="N5" s="33" t="s">
        <v>18</v>
      </c>
      <c r="O5" s="33" t="s">
        <v>18</v>
      </c>
      <c r="P5" s="57" t="s">
        <v>20</v>
      </c>
      <c r="Q5" s="34" t="s">
        <v>20</v>
      </c>
      <c r="R5" s="35" t="s">
        <v>20</v>
      </c>
      <c r="S5" s="36">
        <v>0</v>
      </c>
      <c r="T5" s="37">
        <v>0</v>
      </c>
      <c r="U5" s="37">
        <v>0</v>
      </c>
      <c r="V5" s="37">
        <v>0</v>
      </c>
      <c r="W5" s="37">
        <v>0</v>
      </c>
      <c r="X5" s="38">
        <v>4</v>
      </c>
      <c r="Y5" s="38">
        <v>0</v>
      </c>
      <c r="Z5" s="39">
        <v>3</v>
      </c>
      <c r="AA5" s="40">
        <f t="shared" ref="AA5:AA10" si="0">(10*S5)+(8*T5)+(9*U5)+(12*V5)+(11*W5)+(12*X5)+(9*Y5)</f>
        <v>48</v>
      </c>
      <c r="AB5" s="41" t="s">
        <v>18</v>
      </c>
      <c r="AC5" s="42" t="s">
        <v>18</v>
      </c>
      <c r="AD5" s="42" t="s">
        <v>18</v>
      </c>
      <c r="AE5" s="42" t="s">
        <v>18</v>
      </c>
      <c r="AF5" s="57" t="s">
        <v>20</v>
      </c>
      <c r="AG5" s="43" t="s">
        <v>20</v>
      </c>
      <c r="AH5" s="44" t="s">
        <v>20</v>
      </c>
      <c r="AI5" s="36">
        <v>0</v>
      </c>
      <c r="AJ5" s="37">
        <v>0</v>
      </c>
      <c r="AK5" s="37">
        <v>0</v>
      </c>
      <c r="AL5" s="37">
        <v>0</v>
      </c>
      <c r="AM5" s="37">
        <v>0</v>
      </c>
      <c r="AN5" s="38">
        <v>4</v>
      </c>
      <c r="AO5" s="38">
        <v>0</v>
      </c>
      <c r="AP5" s="39">
        <v>3</v>
      </c>
      <c r="AQ5" s="40">
        <v>48</v>
      </c>
      <c r="AR5" s="41" t="s">
        <v>18</v>
      </c>
      <c r="AS5" s="42" t="s">
        <v>18</v>
      </c>
      <c r="AT5" s="42" t="s">
        <v>18</v>
      </c>
      <c r="AU5" s="57" t="s">
        <v>20</v>
      </c>
      <c r="AV5" s="57" t="s">
        <v>20</v>
      </c>
      <c r="AW5" s="43" t="s">
        <v>20</v>
      </c>
      <c r="AX5" s="60" t="s">
        <v>20</v>
      </c>
      <c r="AY5" s="36">
        <v>0</v>
      </c>
      <c r="AZ5" s="37">
        <v>0</v>
      </c>
      <c r="BA5" s="37">
        <v>0</v>
      </c>
      <c r="BB5" s="37">
        <v>0</v>
      </c>
      <c r="BC5" s="37">
        <v>0</v>
      </c>
      <c r="BD5" s="38">
        <v>3</v>
      </c>
      <c r="BE5" s="38">
        <v>0</v>
      </c>
      <c r="BF5" s="39">
        <v>4</v>
      </c>
      <c r="BG5" s="40">
        <f t="shared" ref="BG5:BG11" si="1">(10*AY5)+(8*AZ5)+(9*BA5)+(12*BB5)+(11*BC5)+(12*BD5)+(9*BE5)</f>
        <v>36</v>
      </c>
      <c r="BH5" s="47" t="s">
        <v>18</v>
      </c>
      <c r="BI5" s="185" t="s">
        <v>18</v>
      </c>
      <c r="BJ5" s="81" t="s">
        <v>20</v>
      </c>
      <c r="BK5" s="81" t="s">
        <v>20</v>
      </c>
      <c r="BL5" s="73" t="s">
        <v>18</v>
      </c>
      <c r="BM5" s="109" t="s">
        <v>20</v>
      </c>
      <c r="BN5" s="184" t="s">
        <v>20</v>
      </c>
      <c r="BO5" s="36">
        <v>0</v>
      </c>
      <c r="BP5" s="37">
        <v>0</v>
      </c>
      <c r="BQ5" s="37">
        <v>0</v>
      </c>
      <c r="BR5" s="37">
        <v>0</v>
      </c>
      <c r="BS5" s="37">
        <v>0</v>
      </c>
      <c r="BT5" s="38">
        <v>3</v>
      </c>
      <c r="BU5" s="38">
        <v>0</v>
      </c>
      <c r="BV5" s="39">
        <v>4</v>
      </c>
      <c r="BW5" s="40">
        <f t="shared" ref="BW5:BW11" si="2">(10*BO5)+(8*BP5)+(9*BQ5)+(12*BR5)+(11*BS5)+(12*BT5)+(9*BU5)</f>
        <v>36</v>
      </c>
      <c r="BX5" s="174" t="s">
        <v>18</v>
      </c>
      <c r="BY5" s="186" t="s">
        <v>18</v>
      </c>
      <c r="BZ5" s="36">
        <v>0</v>
      </c>
      <c r="CA5" s="37">
        <v>0</v>
      </c>
      <c r="CB5" s="37">
        <v>0</v>
      </c>
      <c r="CC5" s="37">
        <v>0</v>
      </c>
      <c r="CD5" s="37">
        <v>0</v>
      </c>
      <c r="CE5" s="38">
        <v>2</v>
      </c>
      <c r="CF5" s="38">
        <v>0</v>
      </c>
      <c r="CG5" s="39">
        <v>0</v>
      </c>
      <c r="CH5" s="40">
        <f t="shared" ref="CH5:CH11" si="3">(10*BZ5)+(8*CA5)+(9*CB5)+(12*CC5)+(11*CD5)+(12*CE5)+(9*CF5)</f>
        <v>24</v>
      </c>
      <c r="CI5" s="49">
        <v>0</v>
      </c>
      <c r="CJ5" s="49">
        <v>0</v>
      </c>
      <c r="CK5" s="49">
        <v>0</v>
      </c>
      <c r="CL5" s="49">
        <v>0</v>
      </c>
      <c r="CM5" s="49">
        <v>0</v>
      </c>
      <c r="CN5" s="49">
        <f t="shared" ref="CI5:CP11" si="4">SUM(H5,X5,AN5,BD5,BT5,CE5)</f>
        <v>16</v>
      </c>
      <c r="CO5" s="49">
        <v>0</v>
      </c>
      <c r="CP5" s="49">
        <f t="shared" si="4"/>
        <v>15</v>
      </c>
      <c r="CQ5" s="50">
        <v>16</v>
      </c>
      <c r="CR5" s="51">
        <f t="shared" ref="CR5:CR10" si="5">SUM(K5,AA5,AQ5,BG5,BW5,CH5)</f>
        <v>192</v>
      </c>
      <c r="CS5" s="52">
        <f t="shared" ref="CS5:CS10" si="6">CR5-180</f>
        <v>12</v>
      </c>
    </row>
    <row r="6" spans="1:97" x14ac:dyDescent="0.25">
      <c r="A6" s="32" t="s">
        <v>22</v>
      </c>
      <c r="B6" s="78" t="s">
        <v>16</v>
      </c>
      <c r="C6" s="36">
        <v>0</v>
      </c>
      <c r="D6" s="37">
        <v>0</v>
      </c>
      <c r="E6" s="37">
        <v>0</v>
      </c>
      <c r="F6" s="37">
        <v>1</v>
      </c>
      <c r="G6" s="37">
        <v>0</v>
      </c>
      <c r="H6" s="38">
        <v>0</v>
      </c>
      <c r="I6" s="38">
        <v>0</v>
      </c>
      <c r="J6" s="39">
        <v>0</v>
      </c>
      <c r="K6" s="40">
        <f t="shared" ref="K6:K11" si="7">(10*C6)+(8*D6)+(9*E6)+(12*F6)+(11*G6)+(12*H6)+(9*I6)</f>
        <v>12</v>
      </c>
      <c r="L6" s="57" t="s">
        <v>41</v>
      </c>
      <c r="M6" s="57" t="s">
        <v>41</v>
      </c>
      <c r="N6" s="57" t="s">
        <v>41</v>
      </c>
      <c r="O6" s="57" t="s">
        <v>41</v>
      </c>
      <c r="P6" s="57" t="s">
        <v>41</v>
      </c>
      <c r="Q6" s="43" t="s">
        <v>41</v>
      </c>
      <c r="R6" s="43" t="s">
        <v>41</v>
      </c>
      <c r="S6" s="36">
        <v>0</v>
      </c>
      <c r="T6" s="37">
        <v>0</v>
      </c>
      <c r="U6" s="37">
        <v>0</v>
      </c>
      <c r="V6" s="37">
        <v>0</v>
      </c>
      <c r="W6" s="37">
        <v>0</v>
      </c>
      <c r="X6" s="38">
        <v>0</v>
      </c>
      <c r="Y6" s="38">
        <v>0</v>
      </c>
      <c r="Z6" s="39">
        <v>0</v>
      </c>
      <c r="AA6" s="40">
        <f t="shared" si="0"/>
        <v>0</v>
      </c>
      <c r="AB6" s="66" t="s">
        <v>41</v>
      </c>
      <c r="AC6" s="66" t="s">
        <v>41</v>
      </c>
      <c r="AD6" s="66" t="s">
        <v>41</v>
      </c>
      <c r="AE6" s="66" t="s">
        <v>41</v>
      </c>
      <c r="AF6" s="57" t="s">
        <v>41</v>
      </c>
      <c r="AG6" s="43" t="s">
        <v>41</v>
      </c>
      <c r="AH6" s="43" t="s">
        <v>41</v>
      </c>
      <c r="AI6" s="36">
        <v>0</v>
      </c>
      <c r="AJ6" s="37">
        <v>0</v>
      </c>
      <c r="AK6" s="37">
        <v>0</v>
      </c>
      <c r="AL6" s="37">
        <v>0</v>
      </c>
      <c r="AM6" s="37">
        <v>0</v>
      </c>
      <c r="AN6" s="38">
        <v>0</v>
      </c>
      <c r="AO6" s="38">
        <v>0</v>
      </c>
      <c r="AP6" s="39">
        <v>0</v>
      </c>
      <c r="AQ6" s="40">
        <f t="shared" ref="AQ6:AQ11" si="8">(10*AI6)+(8*AJ6)+(9*AK6)+(12*AL6)+(11*AM6)+(12*AN6)+(9*AO6)</f>
        <v>0</v>
      </c>
      <c r="AR6" s="66" t="s">
        <v>41</v>
      </c>
      <c r="AS6" s="57" t="s">
        <v>41</v>
      </c>
      <c r="AT6" s="57" t="s">
        <v>41</v>
      </c>
      <c r="AU6" s="57" t="s">
        <v>41</v>
      </c>
      <c r="AV6" s="57" t="s">
        <v>41</v>
      </c>
      <c r="AW6" s="43" t="s">
        <v>41</v>
      </c>
      <c r="AX6" s="60" t="s">
        <v>41</v>
      </c>
      <c r="AY6" s="36">
        <v>0</v>
      </c>
      <c r="AZ6" s="37">
        <v>0</v>
      </c>
      <c r="BA6" s="37">
        <v>0</v>
      </c>
      <c r="BB6" s="37">
        <v>0</v>
      </c>
      <c r="BC6" s="37">
        <v>0</v>
      </c>
      <c r="BD6" s="38">
        <v>0</v>
      </c>
      <c r="BE6" s="38">
        <v>0</v>
      </c>
      <c r="BF6" s="39">
        <v>0</v>
      </c>
      <c r="BG6" s="40">
        <f t="shared" si="1"/>
        <v>0</v>
      </c>
      <c r="BH6" s="80" t="s">
        <v>41</v>
      </c>
      <c r="BI6" s="80" t="s">
        <v>41</v>
      </c>
      <c r="BJ6" s="74" t="s">
        <v>41</v>
      </c>
      <c r="BK6" s="188" t="s">
        <v>41</v>
      </c>
      <c r="BL6" s="188" t="s">
        <v>41</v>
      </c>
      <c r="BM6" s="109" t="s">
        <v>41</v>
      </c>
      <c r="BN6" s="109" t="s">
        <v>41</v>
      </c>
      <c r="BO6" s="36">
        <v>0</v>
      </c>
      <c r="BP6" s="37">
        <v>0</v>
      </c>
      <c r="BQ6" s="37">
        <v>0</v>
      </c>
      <c r="BR6" s="37">
        <v>0</v>
      </c>
      <c r="BS6" s="37">
        <v>0</v>
      </c>
      <c r="BT6" s="38">
        <v>0</v>
      </c>
      <c r="BU6" s="38">
        <v>0</v>
      </c>
      <c r="BV6" s="39">
        <v>0</v>
      </c>
      <c r="BW6" s="40">
        <f t="shared" si="2"/>
        <v>0</v>
      </c>
      <c r="BX6" s="217" t="s">
        <v>41</v>
      </c>
      <c r="BY6" s="190" t="s">
        <v>41</v>
      </c>
      <c r="BZ6" s="36">
        <v>0</v>
      </c>
      <c r="CA6" s="37">
        <v>0</v>
      </c>
      <c r="CB6" s="37">
        <v>0</v>
      </c>
      <c r="CC6" s="37">
        <v>0</v>
      </c>
      <c r="CD6" s="37">
        <v>0</v>
      </c>
      <c r="CE6" s="38">
        <v>0</v>
      </c>
      <c r="CF6" s="38">
        <v>0</v>
      </c>
      <c r="CG6" s="39">
        <v>1</v>
      </c>
      <c r="CH6" s="40">
        <f t="shared" si="3"/>
        <v>0</v>
      </c>
      <c r="CI6" s="49">
        <f t="shared" si="4"/>
        <v>0</v>
      </c>
      <c r="CJ6" s="49">
        <f t="shared" si="4"/>
        <v>0</v>
      </c>
      <c r="CK6" s="49">
        <f t="shared" si="4"/>
        <v>0</v>
      </c>
      <c r="CL6" s="49">
        <f t="shared" si="4"/>
        <v>1</v>
      </c>
      <c r="CM6" s="49">
        <f t="shared" si="4"/>
        <v>0</v>
      </c>
      <c r="CN6" s="49">
        <f t="shared" si="4"/>
        <v>0</v>
      </c>
      <c r="CO6" s="49">
        <f t="shared" si="4"/>
        <v>0</v>
      </c>
      <c r="CP6" s="49">
        <f t="shared" si="4"/>
        <v>1</v>
      </c>
      <c r="CQ6" s="50">
        <f t="shared" ref="CQ6:CQ10" si="9">SUM(CI6:CO6)</f>
        <v>1</v>
      </c>
      <c r="CR6" s="51">
        <f t="shared" si="5"/>
        <v>12</v>
      </c>
      <c r="CS6" s="52">
        <f t="shared" si="6"/>
        <v>-168</v>
      </c>
    </row>
    <row r="7" spans="1:97" x14ac:dyDescent="0.25">
      <c r="A7" s="191" t="s">
        <v>23</v>
      </c>
      <c r="B7" s="43" t="s">
        <v>41</v>
      </c>
      <c r="C7" s="36">
        <v>0</v>
      </c>
      <c r="D7" s="37">
        <v>0</v>
      </c>
      <c r="E7" s="37">
        <v>0</v>
      </c>
      <c r="F7" s="37">
        <v>0</v>
      </c>
      <c r="G7" s="37">
        <v>0</v>
      </c>
      <c r="H7" s="38">
        <v>0</v>
      </c>
      <c r="I7" s="38">
        <v>0</v>
      </c>
      <c r="J7" s="39">
        <v>0</v>
      </c>
      <c r="K7" s="40">
        <f t="shared" si="7"/>
        <v>0</v>
      </c>
      <c r="L7" s="57" t="s">
        <v>41</v>
      </c>
      <c r="M7" s="57" t="s">
        <v>41</v>
      </c>
      <c r="N7" s="57" t="s">
        <v>41</v>
      </c>
      <c r="O7" s="57" t="s">
        <v>41</v>
      </c>
      <c r="P7" s="57" t="s">
        <v>41</v>
      </c>
      <c r="Q7" s="43" t="s">
        <v>20</v>
      </c>
      <c r="R7" s="44" t="s">
        <v>20</v>
      </c>
      <c r="S7" s="36">
        <v>0</v>
      </c>
      <c r="T7" s="37">
        <v>0</v>
      </c>
      <c r="U7" s="37">
        <v>0</v>
      </c>
      <c r="V7" s="37">
        <v>0</v>
      </c>
      <c r="W7" s="37">
        <v>0</v>
      </c>
      <c r="X7" s="38">
        <v>0</v>
      </c>
      <c r="Y7" s="38">
        <v>0</v>
      </c>
      <c r="Z7" s="39">
        <v>2</v>
      </c>
      <c r="AA7" s="40">
        <f t="shared" si="0"/>
        <v>0</v>
      </c>
      <c r="AB7" s="58" t="s">
        <v>18</v>
      </c>
      <c r="AC7" s="59" t="s">
        <v>18</v>
      </c>
      <c r="AD7" s="33" t="s">
        <v>18</v>
      </c>
      <c r="AE7" s="57" t="s">
        <v>20</v>
      </c>
      <c r="AF7" s="57" t="s">
        <v>20</v>
      </c>
      <c r="AG7" s="64" t="s">
        <v>18</v>
      </c>
      <c r="AH7" s="64" t="s">
        <v>18</v>
      </c>
      <c r="AI7" s="36">
        <v>0</v>
      </c>
      <c r="AJ7" s="37">
        <v>0</v>
      </c>
      <c r="AK7" s="37">
        <v>0</v>
      </c>
      <c r="AL7" s="37">
        <v>0</v>
      </c>
      <c r="AM7" s="37">
        <v>0</v>
      </c>
      <c r="AN7" s="38">
        <v>5</v>
      </c>
      <c r="AO7" s="38">
        <v>0</v>
      </c>
      <c r="AP7" s="39">
        <v>2</v>
      </c>
      <c r="AQ7" s="40">
        <f t="shared" si="8"/>
        <v>60</v>
      </c>
      <c r="AR7" s="66" t="s">
        <v>20</v>
      </c>
      <c r="AS7" s="67" t="s">
        <v>20</v>
      </c>
      <c r="AT7" s="57" t="s">
        <v>20</v>
      </c>
      <c r="AU7" s="33" t="s">
        <v>18</v>
      </c>
      <c r="AV7" s="33" t="s">
        <v>18</v>
      </c>
      <c r="AW7" s="68" t="s">
        <v>18</v>
      </c>
      <c r="AX7" s="60" t="s">
        <v>20</v>
      </c>
      <c r="AY7" s="36">
        <v>0</v>
      </c>
      <c r="AZ7" s="37">
        <v>0</v>
      </c>
      <c r="BA7" s="37">
        <v>0</v>
      </c>
      <c r="BB7" s="37">
        <v>0</v>
      </c>
      <c r="BC7" s="37">
        <v>0</v>
      </c>
      <c r="BD7" s="38">
        <v>3</v>
      </c>
      <c r="BE7" s="38">
        <v>0</v>
      </c>
      <c r="BF7" s="39">
        <v>4</v>
      </c>
      <c r="BG7" s="40">
        <f t="shared" si="1"/>
        <v>36</v>
      </c>
      <c r="BH7" s="80" t="s">
        <v>20</v>
      </c>
      <c r="BI7" s="72" t="s">
        <v>18</v>
      </c>
      <c r="BJ7" s="192" t="s">
        <v>18</v>
      </c>
      <c r="BK7" s="81" t="s">
        <v>20</v>
      </c>
      <c r="BL7" s="81" t="s">
        <v>20</v>
      </c>
      <c r="BM7" s="109" t="s">
        <v>20</v>
      </c>
      <c r="BN7" s="218" t="s">
        <v>18</v>
      </c>
      <c r="BO7" s="36">
        <v>0</v>
      </c>
      <c r="BP7" s="37">
        <v>0</v>
      </c>
      <c r="BQ7" s="37">
        <v>0</v>
      </c>
      <c r="BR7" s="37">
        <v>0</v>
      </c>
      <c r="BS7" s="37">
        <v>0</v>
      </c>
      <c r="BT7" s="38">
        <v>3</v>
      </c>
      <c r="BU7" s="38">
        <v>0</v>
      </c>
      <c r="BV7" s="39">
        <v>4</v>
      </c>
      <c r="BW7" s="40">
        <f t="shared" si="2"/>
        <v>36</v>
      </c>
      <c r="BX7" s="174" t="s">
        <v>18</v>
      </c>
      <c r="BY7" s="186" t="s">
        <v>18</v>
      </c>
      <c r="BZ7" s="36">
        <v>0</v>
      </c>
      <c r="CA7" s="37">
        <v>0</v>
      </c>
      <c r="CB7" s="37">
        <v>0</v>
      </c>
      <c r="CC7" s="37">
        <v>0</v>
      </c>
      <c r="CD7" s="37">
        <v>0</v>
      </c>
      <c r="CE7" s="38">
        <v>2</v>
      </c>
      <c r="CF7" s="38">
        <v>0</v>
      </c>
      <c r="CG7" s="39">
        <v>0</v>
      </c>
      <c r="CH7" s="40">
        <f t="shared" si="3"/>
        <v>24</v>
      </c>
      <c r="CI7" s="49">
        <f t="shared" si="4"/>
        <v>0</v>
      </c>
      <c r="CJ7" s="49">
        <f t="shared" si="4"/>
        <v>0</v>
      </c>
      <c r="CK7" s="49">
        <f t="shared" si="4"/>
        <v>0</v>
      </c>
      <c r="CL7" s="49">
        <f t="shared" si="4"/>
        <v>0</v>
      </c>
      <c r="CM7" s="49">
        <f t="shared" si="4"/>
        <v>0</v>
      </c>
      <c r="CN7" s="49">
        <f t="shared" si="4"/>
        <v>13</v>
      </c>
      <c r="CO7" s="49">
        <f t="shared" si="4"/>
        <v>0</v>
      </c>
      <c r="CP7" s="49">
        <f t="shared" si="4"/>
        <v>12</v>
      </c>
      <c r="CQ7" s="50">
        <f t="shared" si="9"/>
        <v>13</v>
      </c>
      <c r="CR7" s="51">
        <f t="shared" si="5"/>
        <v>156</v>
      </c>
      <c r="CS7" s="52">
        <f t="shared" si="6"/>
        <v>-24</v>
      </c>
    </row>
    <row r="8" spans="1:97" x14ac:dyDescent="0.25">
      <c r="A8" s="194" t="s">
        <v>24</v>
      </c>
      <c r="B8" s="43" t="s">
        <v>20</v>
      </c>
      <c r="C8" s="36">
        <v>0</v>
      </c>
      <c r="D8" s="37">
        <v>0</v>
      </c>
      <c r="E8" s="37">
        <v>0</v>
      </c>
      <c r="F8" s="37">
        <v>0</v>
      </c>
      <c r="G8" s="37">
        <v>0</v>
      </c>
      <c r="H8" s="38">
        <v>0</v>
      </c>
      <c r="I8" s="38">
        <v>0</v>
      </c>
      <c r="J8" s="39">
        <v>1</v>
      </c>
      <c r="K8" s="40">
        <f t="shared" si="7"/>
        <v>0</v>
      </c>
      <c r="L8" s="58" t="s">
        <v>16</v>
      </c>
      <c r="M8" s="33" t="s">
        <v>16</v>
      </c>
      <c r="N8" s="57" t="s">
        <v>20</v>
      </c>
      <c r="O8" s="57" t="s">
        <v>20</v>
      </c>
      <c r="P8" s="57" t="s">
        <v>20</v>
      </c>
      <c r="Q8" s="64" t="s">
        <v>16</v>
      </c>
      <c r="R8" s="68" t="s">
        <v>16</v>
      </c>
      <c r="S8" s="36">
        <v>0</v>
      </c>
      <c r="T8" s="37">
        <v>0</v>
      </c>
      <c r="U8" s="37">
        <v>0</v>
      </c>
      <c r="V8" s="37">
        <v>4</v>
      </c>
      <c r="W8" s="37">
        <v>0</v>
      </c>
      <c r="X8" s="38">
        <v>0</v>
      </c>
      <c r="Y8" s="38">
        <v>0</v>
      </c>
      <c r="Z8" s="39">
        <v>3</v>
      </c>
      <c r="AA8" s="40">
        <f t="shared" si="0"/>
        <v>48</v>
      </c>
      <c r="AB8" s="66" t="s">
        <v>20</v>
      </c>
      <c r="AC8" s="57" t="s">
        <v>20</v>
      </c>
      <c r="AD8" s="57" t="s">
        <v>20</v>
      </c>
      <c r="AE8" s="33" t="s">
        <v>16</v>
      </c>
      <c r="AF8" s="33" t="s">
        <v>16</v>
      </c>
      <c r="AG8" s="43" t="s">
        <v>20</v>
      </c>
      <c r="AH8" s="44" t="s">
        <v>20</v>
      </c>
      <c r="AI8" s="36">
        <v>0</v>
      </c>
      <c r="AJ8" s="37">
        <v>0</v>
      </c>
      <c r="AK8" s="37">
        <v>0</v>
      </c>
      <c r="AL8" s="37">
        <v>2</v>
      </c>
      <c r="AM8" s="37">
        <v>0</v>
      </c>
      <c r="AN8" s="38">
        <v>0</v>
      </c>
      <c r="AO8" s="38">
        <v>0</v>
      </c>
      <c r="AP8" s="39">
        <v>5</v>
      </c>
      <c r="AQ8" s="40">
        <f t="shared" si="8"/>
        <v>24</v>
      </c>
      <c r="AR8" s="58" t="s">
        <v>16</v>
      </c>
      <c r="AS8" s="33" t="s">
        <v>16</v>
      </c>
      <c r="AT8" s="57" t="s">
        <v>20</v>
      </c>
      <c r="AU8" s="57" t="s">
        <v>20</v>
      </c>
      <c r="AV8" s="57" t="s">
        <v>20</v>
      </c>
      <c r="AW8" s="64" t="s">
        <v>16</v>
      </c>
      <c r="AX8" s="79" t="s">
        <v>16</v>
      </c>
      <c r="AY8" s="36">
        <v>0</v>
      </c>
      <c r="AZ8" s="37">
        <v>0</v>
      </c>
      <c r="BA8" s="37">
        <v>0</v>
      </c>
      <c r="BB8" s="37">
        <v>4</v>
      </c>
      <c r="BC8" s="37">
        <v>0</v>
      </c>
      <c r="BD8" s="38">
        <v>0</v>
      </c>
      <c r="BE8" s="38">
        <v>0</v>
      </c>
      <c r="BF8" s="39">
        <v>3</v>
      </c>
      <c r="BG8" s="40">
        <f t="shared" si="1"/>
        <v>48</v>
      </c>
      <c r="BH8" s="80" t="s">
        <v>20</v>
      </c>
      <c r="BI8" s="81" t="s">
        <v>20</v>
      </c>
      <c r="BJ8" s="73" t="s">
        <v>16</v>
      </c>
      <c r="BK8" s="73" t="s">
        <v>16</v>
      </c>
      <c r="BL8" s="73" t="s">
        <v>16</v>
      </c>
      <c r="BM8" s="196" t="s">
        <v>20</v>
      </c>
      <c r="BN8" s="109" t="s">
        <v>20</v>
      </c>
      <c r="BO8" s="36">
        <v>0</v>
      </c>
      <c r="BP8" s="37">
        <v>0</v>
      </c>
      <c r="BQ8" s="37">
        <v>0</v>
      </c>
      <c r="BR8" s="37">
        <v>3</v>
      </c>
      <c r="BS8" s="37">
        <v>0</v>
      </c>
      <c r="BT8" s="38">
        <v>0</v>
      </c>
      <c r="BU8" s="38">
        <v>0</v>
      </c>
      <c r="BV8" s="39">
        <v>4</v>
      </c>
      <c r="BW8" s="40">
        <f t="shared" si="2"/>
        <v>36</v>
      </c>
      <c r="BX8" s="221" t="s">
        <v>16</v>
      </c>
      <c r="BY8" s="186" t="s">
        <v>16</v>
      </c>
      <c r="BZ8" s="36">
        <v>0</v>
      </c>
      <c r="CA8" s="37">
        <v>0</v>
      </c>
      <c r="CB8" s="37">
        <v>0</v>
      </c>
      <c r="CC8" s="37">
        <v>2</v>
      </c>
      <c r="CD8" s="37">
        <v>0</v>
      </c>
      <c r="CE8" s="38">
        <v>0</v>
      </c>
      <c r="CF8" s="38">
        <v>0</v>
      </c>
      <c r="CG8" s="39">
        <v>0</v>
      </c>
      <c r="CH8" s="40">
        <f t="shared" si="3"/>
        <v>24</v>
      </c>
      <c r="CI8" s="49">
        <f t="shared" si="4"/>
        <v>0</v>
      </c>
      <c r="CJ8" s="49">
        <f t="shared" si="4"/>
        <v>0</v>
      </c>
      <c r="CK8" s="49">
        <f t="shared" si="4"/>
        <v>0</v>
      </c>
      <c r="CL8" s="49">
        <f t="shared" si="4"/>
        <v>15</v>
      </c>
      <c r="CM8" s="49">
        <f t="shared" si="4"/>
        <v>0</v>
      </c>
      <c r="CN8" s="49">
        <f t="shared" si="4"/>
        <v>0</v>
      </c>
      <c r="CO8" s="49">
        <f t="shared" si="4"/>
        <v>0</v>
      </c>
      <c r="CP8" s="49">
        <f t="shared" si="4"/>
        <v>16</v>
      </c>
      <c r="CQ8" s="50">
        <f t="shared" si="9"/>
        <v>15</v>
      </c>
      <c r="CR8" s="51">
        <f t="shared" si="5"/>
        <v>180</v>
      </c>
      <c r="CS8" s="52">
        <f t="shared" si="6"/>
        <v>0</v>
      </c>
    </row>
    <row r="9" spans="1:97" x14ac:dyDescent="0.25">
      <c r="A9" s="31" t="s">
        <v>32</v>
      </c>
      <c r="B9" s="78" t="s">
        <v>18</v>
      </c>
      <c r="C9" s="36">
        <v>0</v>
      </c>
      <c r="D9" s="37">
        <v>0</v>
      </c>
      <c r="E9" s="37">
        <v>0</v>
      </c>
      <c r="F9" s="37">
        <v>0</v>
      </c>
      <c r="G9" s="37">
        <v>0</v>
      </c>
      <c r="H9" s="38">
        <v>1</v>
      </c>
      <c r="I9" s="38">
        <v>0</v>
      </c>
      <c r="J9" s="39">
        <v>0</v>
      </c>
      <c r="K9" s="40">
        <f t="shared" si="7"/>
        <v>12</v>
      </c>
      <c r="L9" s="33" t="s">
        <v>18</v>
      </c>
      <c r="M9" s="57" t="s">
        <v>20</v>
      </c>
      <c r="N9" s="57" t="s">
        <v>20</v>
      </c>
      <c r="O9" s="57" t="s">
        <v>20</v>
      </c>
      <c r="P9" s="33" t="s">
        <v>18</v>
      </c>
      <c r="Q9" s="64" t="s">
        <v>18</v>
      </c>
      <c r="R9" s="64" t="s">
        <v>18</v>
      </c>
      <c r="S9" s="36">
        <v>0</v>
      </c>
      <c r="T9" s="37">
        <v>0</v>
      </c>
      <c r="U9" s="37">
        <v>0</v>
      </c>
      <c r="V9" s="37">
        <v>0</v>
      </c>
      <c r="W9" s="37">
        <v>0</v>
      </c>
      <c r="X9" s="38">
        <v>4</v>
      </c>
      <c r="Y9" s="38">
        <v>0</v>
      </c>
      <c r="Z9" s="39">
        <v>3</v>
      </c>
      <c r="AA9" s="40">
        <f t="shared" si="0"/>
        <v>48</v>
      </c>
      <c r="AB9" s="66" t="s">
        <v>20</v>
      </c>
      <c r="AC9" s="66" t="s">
        <v>20</v>
      </c>
      <c r="AD9" s="66" t="s">
        <v>20</v>
      </c>
      <c r="AE9" s="58" t="s">
        <v>18</v>
      </c>
      <c r="AF9" s="33" t="s">
        <v>18</v>
      </c>
      <c r="AG9" s="45" t="s">
        <v>18</v>
      </c>
      <c r="AH9" s="44" t="s">
        <v>20</v>
      </c>
      <c r="AI9" s="36">
        <v>0</v>
      </c>
      <c r="AJ9" s="37">
        <v>0</v>
      </c>
      <c r="AK9" s="37">
        <v>0</v>
      </c>
      <c r="AL9" s="37">
        <v>0</v>
      </c>
      <c r="AM9" s="37">
        <v>0</v>
      </c>
      <c r="AN9" s="38">
        <v>3</v>
      </c>
      <c r="AO9" s="38">
        <v>0</v>
      </c>
      <c r="AP9" s="39">
        <v>4</v>
      </c>
      <c r="AQ9" s="40">
        <f t="shared" si="8"/>
        <v>36</v>
      </c>
      <c r="AR9" s="66" t="s">
        <v>20</v>
      </c>
      <c r="AS9" s="33" t="s">
        <v>18</v>
      </c>
      <c r="AT9" s="42" t="s">
        <v>18</v>
      </c>
      <c r="AU9" s="42" t="s">
        <v>18</v>
      </c>
      <c r="AV9" s="57" t="s">
        <v>20</v>
      </c>
      <c r="AW9" s="43" t="s">
        <v>20</v>
      </c>
      <c r="AX9" s="68" t="s">
        <v>18</v>
      </c>
      <c r="AY9" s="36">
        <v>0</v>
      </c>
      <c r="AZ9" s="37">
        <v>0</v>
      </c>
      <c r="BA9" s="37">
        <v>0</v>
      </c>
      <c r="BB9" s="37">
        <v>0</v>
      </c>
      <c r="BC9" s="37">
        <v>0</v>
      </c>
      <c r="BD9" s="38">
        <v>4</v>
      </c>
      <c r="BE9" s="38">
        <v>0</v>
      </c>
      <c r="BF9" s="39">
        <v>3</v>
      </c>
      <c r="BG9" s="40">
        <f t="shared" si="1"/>
        <v>48</v>
      </c>
      <c r="BH9" s="187" t="s">
        <v>18</v>
      </c>
      <c r="BI9" s="81" t="s">
        <v>20</v>
      </c>
      <c r="BJ9" s="81" t="s">
        <v>20</v>
      </c>
      <c r="BK9" s="73" t="s">
        <v>18</v>
      </c>
      <c r="BL9" s="81" t="s">
        <v>20</v>
      </c>
      <c r="BM9" s="195" t="s">
        <v>18</v>
      </c>
      <c r="BN9" s="189" t="s">
        <v>18</v>
      </c>
      <c r="BO9" s="36">
        <v>0</v>
      </c>
      <c r="BP9" s="37">
        <v>0</v>
      </c>
      <c r="BQ9" s="37">
        <v>0</v>
      </c>
      <c r="BR9" s="37">
        <v>0</v>
      </c>
      <c r="BS9" s="37">
        <v>0</v>
      </c>
      <c r="BT9" s="38">
        <v>4</v>
      </c>
      <c r="BU9" s="38">
        <v>0</v>
      </c>
      <c r="BV9" s="39">
        <v>3</v>
      </c>
      <c r="BW9" s="40">
        <f t="shared" si="2"/>
        <v>48</v>
      </c>
      <c r="BX9" s="217" t="s">
        <v>20</v>
      </c>
      <c r="BY9" s="190" t="s">
        <v>20</v>
      </c>
      <c r="BZ9" s="36">
        <v>0</v>
      </c>
      <c r="CA9" s="37">
        <v>0</v>
      </c>
      <c r="CB9" s="37">
        <v>0</v>
      </c>
      <c r="CC9" s="37">
        <v>0</v>
      </c>
      <c r="CD9" s="37">
        <v>0</v>
      </c>
      <c r="CE9" s="38">
        <v>0</v>
      </c>
      <c r="CF9" s="38">
        <v>0</v>
      </c>
      <c r="CG9" s="39">
        <v>0</v>
      </c>
      <c r="CH9" s="40">
        <f t="shared" si="3"/>
        <v>0</v>
      </c>
      <c r="CI9" s="49">
        <f t="shared" si="4"/>
        <v>0</v>
      </c>
      <c r="CJ9" s="49">
        <f t="shared" si="4"/>
        <v>0</v>
      </c>
      <c r="CK9" s="49">
        <f t="shared" si="4"/>
        <v>0</v>
      </c>
      <c r="CL9" s="49">
        <f t="shared" si="4"/>
        <v>0</v>
      </c>
      <c r="CM9" s="49">
        <f t="shared" si="4"/>
        <v>0</v>
      </c>
      <c r="CN9" s="49">
        <f t="shared" si="4"/>
        <v>16</v>
      </c>
      <c r="CO9" s="49">
        <f t="shared" si="4"/>
        <v>0</v>
      </c>
      <c r="CP9" s="49">
        <v>15</v>
      </c>
      <c r="CQ9" s="50">
        <f t="shared" si="9"/>
        <v>16</v>
      </c>
      <c r="CR9" s="51">
        <f t="shared" si="5"/>
        <v>192</v>
      </c>
      <c r="CS9" s="52">
        <f t="shared" si="6"/>
        <v>12</v>
      </c>
    </row>
    <row r="10" spans="1:97" x14ac:dyDescent="0.25">
      <c r="A10" s="191" t="s">
        <v>25</v>
      </c>
      <c r="B10" s="43" t="s">
        <v>20</v>
      </c>
      <c r="C10" s="36">
        <v>0</v>
      </c>
      <c r="D10" s="37">
        <v>0</v>
      </c>
      <c r="E10" s="37">
        <v>0</v>
      </c>
      <c r="F10" s="37">
        <v>0</v>
      </c>
      <c r="G10" s="37">
        <v>0</v>
      </c>
      <c r="H10" s="38">
        <v>0</v>
      </c>
      <c r="I10" s="38">
        <v>0</v>
      </c>
      <c r="J10" s="39">
        <v>0</v>
      </c>
      <c r="K10" s="40">
        <f t="shared" si="7"/>
        <v>0</v>
      </c>
      <c r="L10" s="57" t="s">
        <v>20</v>
      </c>
      <c r="M10" s="57" t="s">
        <v>20</v>
      </c>
      <c r="N10" s="33" t="s">
        <v>16</v>
      </c>
      <c r="O10" s="33" t="s">
        <v>16</v>
      </c>
      <c r="P10" s="33" t="s">
        <v>16</v>
      </c>
      <c r="Q10" s="43" t="s">
        <v>20</v>
      </c>
      <c r="R10" s="43" t="s">
        <v>20</v>
      </c>
      <c r="S10" s="36">
        <v>0</v>
      </c>
      <c r="T10" s="37">
        <v>0</v>
      </c>
      <c r="U10" s="37">
        <v>0</v>
      </c>
      <c r="V10" s="37">
        <v>3</v>
      </c>
      <c r="W10" s="37">
        <v>0</v>
      </c>
      <c r="X10" s="38">
        <v>0</v>
      </c>
      <c r="Y10" s="38">
        <v>0</v>
      </c>
      <c r="Z10" s="39">
        <v>4</v>
      </c>
      <c r="AA10" s="40">
        <f t="shared" si="0"/>
        <v>36</v>
      </c>
      <c r="AB10" s="58" t="s">
        <v>16</v>
      </c>
      <c r="AC10" s="33" t="s">
        <v>16</v>
      </c>
      <c r="AD10" s="33" t="s">
        <v>16</v>
      </c>
      <c r="AE10" s="57" t="s">
        <v>20</v>
      </c>
      <c r="AF10" s="57" t="s">
        <v>20</v>
      </c>
      <c r="AG10" s="64" t="s">
        <v>16</v>
      </c>
      <c r="AH10" s="65" t="s">
        <v>16</v>
      </c>
      <c r="AI10" s="36">
        <v>0</v>
      </c>
      <c r="AJ10" s="37">
        <v>0</v>
      </c>
      <c r="AK10" s="37">
        <v>0</v>
      </c>
      <c r="AL10" s="37">
        <v>5</v>
      </c>
      <c r="AM10" s="37">
        <v>0</v>
      </c>
      <c r="AN10" s="38">
        <v>0</v>
      </c>
      <c r="AO10" s="38">
        <v>0</v>
      </c>
      <c r="AP10" s="39">
        <v>2</v>
      </c>
      <c r="AQ10" s="40">
        <f t="shared" si="8"/>
        <v>60</v>
      </c>
      <c r="AR10" s="66" t="s">
        <v>20</v>
      </c>
      <c r="AS10" s="57" t="s">
        <v>20</v>
      </c>
      <c r="AT10" s="33" t="s">
        <v>16</v>
      </c>
      <c r="AU10" s="33" t="s">
        <v>16</v>
      </c>
      <c r="AV10" s="33" t="s">
        <v>16</v>
      </c>
      <c r="AW10" s="43" t="s">
        <v>20</v>
      </c>
      <c r="AX10" s="60" t="s">
        <v>20</v>
      </c>
      <c r="AY10" s="36">
        <v>0</v>
      </c>
      <c r="AZ10" s="37">
        <v>0</v>
      </c>
      <c r="BA10" s="37">
        <v>0</v>
      </c>
      <c r="BB10" s="37">
        <v>3</v>
      </c>
      <c r="BC10" s="37">
        <v>0</v>
      </c>
      <c r="BD10" s="38">
        <v>0</v>
      </c>
      <c r="BE10" s="38">
        <v>0</v>
      </c>
      <c r="BF10" s="39">
        <v>4</v>
      </c>
      <c r="BG10" s="40">
        <f t="shared" si="1"/>
        <v>36</v>
      </c>
      <c r="BH10" s="72" t="s">
        <v>16</v>
      </c>
      <c r="BI10" s="73" t="s">
        <v>16</v>
      </c>
      <c r="BJ10" s="81" t="s">
        <v>20</v>
      </c>
      <c r="BK10" s="219" t="s">
        <v>20</v>
      </c>
      <c r="BL10" s="188" t="s">
        <v>20</v>
      </c>
      <c r="BM10" s="220" t="s">
        <v>16</v>
      </c>
      <c r="BN10" s="111" t="s">
        <v>16</v>
      </c>
      <c r="BO10" s="36">
        <v>0</v>
      </c>
      <c r="BP10" s="37">
        <v>0</v>
      </c>
      <c r="BQ10" s="37">
        <v>0</v>
      </c>
      <c r="BR10" s="37">
        <v>4</v>
      </c>
      <c r="BS10" s="37">
        <v>0</v>
      </c>
      <c r="BT10" s="38">
        <v>0</v>
      </c>
      <c r="BU10" s="38">
        <v>0</v>
      </c>
      <c r="BV10" s="39">
        <v>3</v>
      </c>
      <c r="BW10" s="40">
        <f t="shared" si="2"/>
        <v>48</v>
      </c>
      <c r="BX10" s="217" t="s">
        <v>20</v>
      </c>
      <c r="BY10" s="190" t="s">
        <v>20</v>
      </c>
      <c r="BZ10" s="36">
        <v>0</v>
      </c>
      <c r="CA10" s="37">
        <v>0</v>
      </c>
      <c r="CB10" s="37">
        <v>0</v>
      </c>
      <c r="CC10" s="37">
        <v>0</v>
      </c>
      <c r="CD10" s="37">
        <v>0</v>
      </c>
      <c r="CE10" s="38">
        <v>0</v>
      </c>
      <c r="CF10" s="38">
        <v>0</v>
      </c>
      <c r="CG10" s="39">
        <v>2</v>
      </c>
      <c r="CH10" s="40">
        <f t="shared" si="3"/>
        <v>0</v>
      </c>
      <c r="CI10" s="49">
        <f t="shared" si="4"/>
        <v>0</v>
      </c>
      <c r="CJ10" s="49">
        <f t="shared" si="4"/>
        <v>0</v>
      </c>
      <c r="CK10" s="49">
        <f t="shared" si="4"/>
        <v>0</v>
      </c>
      <c r="CL10" s="49">
        <f t="shared" si="4"/>
        <v>15</v>
      </c>
      <c r="CM10" s="49">
        <f t="shared" si="4"/>
        <v>0</v>
      </c>
      <c r="CN10" s="49">
        <f t="shared" si="4"/>
        <v>0</v>
      </c>
      <c r="CO10" s="49">
        <f t="shared" si="4"/>
        <v>0</v>
      </c>
      <c r="CP10" s="49">
        <f t="shared" si="4"/>
        <v>15</v>
      </c>
      <c r="CQ10" s="50">
        <f t="shared" si="9"/>
        <v>15</v>
      </c>
      <c r="CR10" s="51">
        <f t="shared" si="5"/>
        <v>180</v>
      </c>
      <c r="CS10" s="52">
        <f t="shared" si="6"/>
        <v>0</v>
      </c>
    </row>
    <row r="11" spans="1:97" x14ac:dyDescent="0.25">
      <c r="A11" s="191" t="s">
        <v>58</v>
      </c>
      <c r="B11" s="43" t="s">
        <v>20</v>
      </c>
      <c r="C11" s="36">
        <v>0</v>
      </c>
      <c r="D11" s="37">
        <v>0</v>
      </c>
      <c r="E11" s="37">
        <v>0</v>
      </c>
      <c r="F11" s="37">
        <v>0</v>
      </c>
      <c r="G11" s="37">
        <v>0</v>
      </c>
      <c r="H11" s="38">
        <v>0</v>
      </c>
      <c r="I11" s="38">
        <v>0</v>
      </c>
      <c r="J11" s="39">
        <v>0</v>
      </c>
      <c r="K11" s="40">
        <f t="shared" si="7"/>
        <v>0</v>
      </c>
      <c r="L11" s="57"/>
      <c r="M11" s="57"/>
      <c r="N11" s="53"/>
      <c r="O11" s="57"/>
      <c r="P11" s="57"/>
      <c r="Q11" s="78"/>
      <c r="R11" s="78"/>
      <c r="S11" s="36">
        <v>0</v>
      </c>
      <c r="T11" s="37">
        <v>0</v>
      </c>
      <c r="U11" s="37">
        <v>0</v>
      </c>
      <c r="V11" s="37">
        <v>0</v>
      </c>
      <c r="W11" s="37">
        <v>0</v>
      </c>
      <c r="X11" s="38">
        <v>0</v>
      </c>
      <c r="Y11" s="38">
        <v>0</v>
      </c>
      <c r="Z11" s="39">
        <v>0</v>
      </c>
      <c r="AA11" s="40">
        <f>(10*S11)+(8*T11)+(9*U11)+(12*V11)+(11*W11)+(12*X11)+(9*Y11)</f>
        <v>0</v>
      </c>
      <c r="AB11" s="66"/>
      <c r="AC11" s="66"/>
      <c r="AD11" s="41"/>
      <c r="AE11" s="41"/>
      <c r="AF11" s="42"/>
      <c r="AG11" s="43"/>
      <c r="AH11" s="44"/>
      <c r="AI11" s="36">
        <v>0</v>
      </c>
      <c r="AJ11" s="37">
        <v>0</v>
      </c>
      <c r="AK11" s="37">
        <v>0</v>
      </c>
      <c r="AL11" s="37">
        <v>0</v>
      </c>
      <c r="AM11" s="37">
        <v>0</v>
      </c>
      <c r="AN11" s="38">
        <v>0</v>
      </c>
      <c r="AO11" s="38">
        <v>0</v>
      </c>
      <c r="AP11" s="39">
        <v>0</v>
      </c>
      <c r="AQ11" s="40">
        <f t="shared" si="8"/>
        <v>0</v>
      </c>
      <c r="AR11" s="55"/>
      <c r="AS11" s="42"/>
      <c r="AT11" s="57"/>
      <c r="AU11" s="57"/>
      <c r="AV11" s="53"/>
      <c r="AW11" s="78"/>
      <c r="AX11" s="60"/>
      <c r="AY11" s="36">
        <v>0</v>
      </c>
      <c r="AZ11" s="37">
        <v>0</v>
      </c>
      <c r="BA11" s="37">
        <v>0</v>
      </c>
      <c r="BB11" s="37">
        <v>0</v>
      </c>
      <c r="BC11" s="37">
        <v>0</v>
      </c>
      <c r="BD11" s="38">
        <v>0</v>
      </c>
      <c r="BE11" s="38">
        <v>0</v>
      </c>
      <c r="BF11" s="39">
        <v>0</v>
      </c>
      <c r="BG11" s="40">
        <f t="shared" si="1"/>
        <v>0</v>
      </c>
      <c r="BH11" s="80"/>
      <c r="BI11" s="81"/>
      <c r="BJ11" s="193"/>
      <c r="BK11" s="193"/>
      <c r="BL11" s="193"/>
      <c r="BM11" s="196"/>
      <c r="BN11" s="109"/>
      <c r="BO11" s="36">
        <v>0</v>
      </c>
      <c r="BP11" s="37">
        <v>0</v>
      </c>
      <c r="BQ11" s="37">
        <v>0</v>
      </c>
      <c r="BR11" s="37">
        <v>0</v>
      </c>
      <c r="BS11" s="37">
        <v>0</v>
      </c>
      <c r="BT11" s="38">
        <v>0</v>
      </c>
      <c r="BU11" s="38">
        <v>0</v>
      </c>
      <c r="BV11" s="39">
        <v>0</v>
      </c>
      <c r="BW11" s="40">
        <f t="shared" si="2"/>
        <v>0</v>
      </c>
      <c r="BX11" s="171"/>
      <c r="BY11" s="190"/>
      <c r="BZ11" s="36">
        <v>0</v>
      </c>
      <c r="CA11" s="37">
        <v>0</v>
      </c>
      <c r="CB11" s="37">
        <v>0</v>
      </c>
      <c r="CC11" s="37">
        <v>0</v>
      </c>
      <c r="CD11" s="37">
        <v>0</v>
      </c>
      <c r="CE11" s="38">
        <v>0</v>
      </c>
      <c r="CF11" s="38">
        <v>0</v>
      </c>
      <c r="CG11" s="39">
        <v>0</v>
      </c>
      <c r="CH11" s="40">
        <f t="shared" si="3"/>
        <v>0</v>
      </c>
      <c r="CI11" s="49">
        <f t="shared" si="4"/>
        <v>0</v>
      </c>
      <c r="CJ11" s="49">
        <f t="shared" si="4"/>
        <v>0</v>
      </c>
      <c r="CK11" s="49">
        <f t="shared" si="4"/>
        <v>0</v>
      </c>
      <c r="CL11" s="49">
        <f t="shared" si="4"/>
        <v>0</v>
      </c>
      <c r="CM11" s="49">
        <f t="shared" si="4"/>
        <v>0</v>
      </c>
      <c r="CN11" s="49">
        <f t="shared" si="4"/>
        <v>0</v>
      </c>
      <c r="CO11" s="49">
        <f t="shared" si="4"/>
        <v>0</v>
      </c>
      <c r="CP11" s="49">
        <f t="shared" si="4"/>
        <v>0</v>
      </c>
      <c r="CQ11" s="50"/>
      <c r="CR11" s="51"/>
      <c r="CS11" s="52"/>
    </row>
    <row r="12" spans="1:97" x14ac:dyDescent="0.25">
      <c r="A12" s="84"/>
      <c r="B12" s="85"/>
      <c r="C12" s="87"/>
      <c r="D12" s="87"/>
      <c r="E12" s="87"/>
      <c r="F12" s="87"/>
      <c r="G12" s="87"/>
      <c r="H12" s="87"/>
      <c r="I12" s="87"/>
      <c r="J12" s="87"/>
      <c r="K12" s="87"/>
      <c r="L12" s="85"/>
      <c r="M12" s="85"/>
      <c r="N12" s="85"/>
      <c r="O12" s="85"/>
      <c r="P12" s="86"/>
      <c r="Q12" s="86"/>
      <c r="R12" s="86"/>
      <c r="S12" s="87"/>
      <c r="T12" s="87"/>
      <c r="U12" s="87"/>
      <c r="V12" s="87"/>
      <c r="W12" s="87"/>
      <c r="X12" s="87"/>
      <c r="Y12" s="87"/>
      <c r="Z12" s="87"/>
      <c r="AA12" s="87"/>
      <c r="AB12" s="85"/>
      <c r="AC12" s="85"/>
      <c r="AD12" s="85"/>
      <c r="AE12" s="85"/>
      <c r="AF12" s="86"/>
      <c r="AG12" s="86"/>
      <c r="AH12" s="86"/>
      <c r="AI12" s="87"/>
      <c r="AJ12" s="87"/>
      <c r="AK12" s="87"/>
      <c r="AL12" s="87"/>
      <c r="AM12" s="87"/>
      <c r="AN12" s="87"/>
      <c r="AO12" s="87"/>
      <c r="AP12" s="87"/>
      <c r="AQ12" s="87"/>
      <c r="AR12" s="86"/>
      <c r="AS12" s="86"/>
      <c r="AT12" s="85"/>
      <c r="AU12" s="85"/>
      <c r="AV12" s="86"/>
      <c r="AW12" s="86"/>
      <c r="AX12" s="86"/>
      <c r="AY12" s="87"/>
      <c r="AZ12" s="87"/>
      <c r="BA12" s="87"/>
      <c r="BB12" s="87"/>
      <c r="BC12" s="87"/>
      <c r="BD12" s="87"/>
      <c r="BE12" s="87"/>
      <c r="BF12" s="87"/>
      <c r="BG12" s="87"/>
      <c r="BH12" s="88"/>
      <c r="BI12" s="88"/>
      <c r="BJ12" s="88"/>
      <c r="BK12" s="88"/>
      <c r="BL12" s="197"/>
      <c r="BM12" s="197"/>
      <c r="BN12" s="197"/>
      <c r="BO12" s="87"/>
      <c r="BP12" s="87"/>
      <c r="BQ12" s="87"/>
      <c r="BR12" s="87"/>
      <c r="BS12" s="87"/>
      <c r="BT12" s="87"/>
      <c r="BU12" s="87"/>
      <c r="BV12" s="87"/>
      <c r="BW12" s="87"/>
      <c r="BX12" s="172"/>
      <c r="BY12" s="198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9"/>
      <c r="CR12" s="89"/>
      <c r="CS12" s="89"/>
    </row>
    <row r="13" spans="1:97" x14ac:dyDescent="0.25">
      <c r="A13" s="84"/>
      <c r="B13" s="85"/>
      <c r="C13" s="87"/>
      <c r="D13" s="87"/>
      <c r="E13" s="87"/>
      <c r="F13" s="87"/>
      <c r="G13" s="87"/>
      <c r="H13" s="87"/>
      <c r="I13" s="87"/>
      <c r="J13" s="87"/>
      <c r="K13" s="87"/>
      <c r="L13" s="85"/>
      <c r="M13" s="85"/>
      <c r="N13" s="85"/>
      <c r="O13" s="85"/>
      <c r="P13" s="86"/>
      <c r="Q13" s="86"/>
      <c r="R13" s="86"/>
      <c r="S13" s="87"/>
      <c r="T13" s="87"/>
      <c r="U13" s="87"/>
      <c r="V13" s="87"/>
      <c r="W13" s="87"/>
      <c r="X13" s="87"/>
      <c r="Y13" s="87"/>
      <c r="Z13" s="87"/>
      <c r="AA13" s="87"/>
      <c r="AB13" s="85"/>
      <c r="AC13" s="85"/>
      <c r="AD13" s="85"/>
      <c r="AE13" s="85"/>
      <c r="AF13" s="86"/>
      <c r="AG13" s="86"/>
      <c r="AH13" s="86"/>
      <c r="AI13" s="87"/>
      <c r="AJ13" s="87"/>
      <c r="AK13" s="87"/>
      <c r="AL13" s="87"/>
      <c r="AM13" s="87"/>
      <c r="AN13" s="87"/>
      <c r="AO13" s="87"/>
      <c r="AP13" s="87"/>
      <c r="AQ13" s="87"/>
      <c r="AR13" s="86"/>
      <c r="AS13" s="86"/>
      <c r="AT13" s="85"/>
      <c r="AU13" s="85"/>
      <c r="AV13" s="86"/>
      <c r="AW13" s="86"/>
      <c r="AX13" s="86"/>
      <c r="AY13" s="87"/>
      <c r="AZ13" s="87"/>
      <c r="BA13" s="87"/>
      <c r="BB13" s="87"/>
      <c r="BC13" s="87"/>
      <c r="BD13" s="87"/>
      <c r="BE13" s="87"/>
      <c r="BF13" s="87"/>
      <c r="BG13" s="87"/>
      <c r="BH13" s="88"/>
      <c r="BI13" s="88"/>
      <c r="BJ13" s="88"/>
      <c r="BK13" s="88"/>
      <c r="BL13" s="197"/>
      <c r="BM13" s="197"/>
      <c r="BN13" s="197"/>
      <c r="BO13" s="87"/>
      <c r="BP13" s="87"/>
      <c r="BQ13" s="87"/>
      <c r="BR13" s="87"/>
      <c r="BS13" s="87"/>
      <c r="BT13" s="87"/>
      <c r="BU13" s="87"/>
      <c r="BV13" s="87"/>
      <c r="BW13" s="87"/>
      <c r="BX13" s="172"/>
      <c r="BY13" s="198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9"/>
      <c r="CR13" s="89"/>
      <c r="CS13" s="89"/>
    </row>
    <row r="14" spans="1:97" ht="16.5" thickBot="1" x14ac:dyDescent="0.3">
      <c r="A14" s="90" t="s">
        <v>28</v>
      </c>
      <c r="B14" s="91"/>
      <c r="C14" s="92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3"/>
      <c r="AU14" s="93"/>
      <c r="AV14" s="93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3"/>
      <c r="BH14" s="93"/>
      <c r="BI14" s="93"/>
      <c r="BJ14" s="93"/>
      <c r="BK14" s="93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173"/>
      <c r="BY14" s="199"/>
      <c r="BZ14" s="92"/>
      <c r="CA14" s="91"/>
      <c r="CB14" s="91"/>
      <c r="CC14" s="91"/>
      <c r="CD14" s="91"/>
      <c r="CE14" s="91"/>
      <c r="CF14" s="91"/>
      <c r="CG14" s="91"/>
      <c r="CH14" s="91"/>
      <c r="CI14" s="91"/>
      <c r="CJ14" s="91"/>
    </row>
    <row r="15" spans="1:97" ht="15.75" thickBot="1" x14ac:dyDescent="0.3">
      <c r="A15" s="2" t="s">
        <v>0</v>
      </c>
      <c r="B15" s="5" t="s">
        <v>7</v>
      </c>
      <c r="C15" s="226" t="s">
        <v>8</v>
      </c>
      <c r="D15" s="227"/>
      <c r="E15" s="227"/>
      <c r="F15" s="227"/>
      <c r="G15" s="227"/>
      <c r="H15" s="227"/>
      <c r="I15" s="227"/>
      <c r="J15" s="228"/>
      <c r="K15" s="7" t="s">
        <v>9</v>
      </c>
      <c r="L15" s="4" t="s">
        <v>1</v>
      </c>
      <c r="M15" s="4" t="s">
        <v>2</v>
      </c>
      <c r="N15" s="4" t="s">
        <v>3</v>
      </c>
      <c r="O15" s="4" t="s">
        <v>4</v>
      </c>
      <c r="P15" s="4" t="s">
        <v>5</v>
      </c>
      <c r="Q15" s="8" t="s">
        <v>6</v>
      </c>
      <c r="R15" s="9" t="s">
        <v>7</v>
      </c>
      <c r="S15" s="226" t="s">
        <v>8</v>
      </c>
      <c r="T15" s="227"/>
      <c r="U15" s="227"/>
      <c r="V15" s="227"/>
      <c r="W15" s="227"/>
      <c r="X15" s="227"/>
      <c r="Y15" s="227"/>
      <c r="Z15" s="228"/>
      <c r="AA15" s="10" t="s">
        <v>9</v>
      </c>
      <c r="AB15" s="11" t="s">
        <v>1</v>
      </c>
      <c r="AC15" s="4" t="s">
        <v>2</v>
      </c>
      <c r="AD15" s="4" t="s">
        <v>3</v>
      </c>
      <c r="AE15" s="4" t="s">
        <v>4</v>
      </c>
      <c r="AF15" s="4" t="s">
        <v>5</v>
      </c>
      <c r="AG15" s="8" t="s">
        <v>6</v>
      </c>
      <c r="AH15" s="9" t="s">
        <v>7</v>
      </c>
      <c r="AI15" s="226" t="s">
        <v>8</v>
      </c>
      <c r="AJ15" s="227"/>
      <c r="AK15" s="227"/>
      <c r="AL15" s="227"/>
      <c r="AM15" s="227"/>
      <c r="AN15" s="227"/>
      <c r="AO15" s="227"/>
      <c r="AP15" s="228"/>
      <c r="AQ15" s="10" t="s">
        <v>9</v>
      </c>
      <c r="AR15" s="11" t="s">
        <v>1</v>
      </c>
      <c r="AS15" s="4" t="s">
        <v>2</v>
      </c>
      <c r="AT15" s="4" t="s">
        <v>3</v>
      </c>
      <c r="AU15" s="4" t="s">
        <v>4</v>
      </c>
      <c r="AV15" s="4" t="s">
        <v>5</v>
      </c>
      <c r="AW15" s="8" t="s">
        <v>6</v>
      </c>
      <c r="AX15" s="12" t="s">
        <v>7</v>
      </c>
      <c r="AY15" s="226" t="s">
        <v>8</v>
      </c>
      <c r="AZ15" s="227"/>
      <c r="BA15" s="227"/>
      <c r="BB15" s="227"/>
      <c r="BC15" s="227"/>
      <c r="BD15" s="227"/>
      <c r="BE15" s="227"/>
      <c r="BF15" s="228"/>
      <c r="BG15" s="10" t="s">
        <v>9</v>
      </c>
      <c r="BH15" s="200" t="s">
        <v>1</v>
      </c>
      <c r="BI15" s="200" t="s">
        <v>2</v>
      </c>
      <c r="BJ15" s="200"/>
      <c r="BK15" s="200"/>
      <c r="BL15" s="200" t="s">
        <v>3</v>
      </c>
      <c r="BM15" s="201" t="s">
        <v>6</v>
      </c>
      <c r="BN15" s="201" t="s">
        <v>7</v>
      </c>
      <c r="BO15" s="226" t="s">
        <v>8</v>
      </c>
      <c r="BP15" s="227"/>
      <c r="BQ15" s="227"/>
      <c r="BR15" s="227"/>
      <c r="BS15" s="227"/>
      <c r="BT15" s="227"/>
      <c r="BU15" s="227"/>
      <c r="BV15" s="228"/>
      <c r="BW15" s="10" t="s">
        <v>9</v>
      </c>
      <c r="BX15" s="200" t="s">
        <v>1</v>
      </c>
      <c r="BY15" s="202" t="s">
        <v>2</v>
      </c>
      <c r="BZ15" s="226" t="s">
        <v>8</v>
      </c>
      <c r="CA15" s="227"/>
      <c r="CB15" s="227"/>
      <c r="CC15" s="227"/>
      <c r="CD15" s="227"/>
      <c r="CE15" s="227"/>
      <c r="CF15" s="227"/>
      <c r="CG15" s="228"/>
      <c r="CH15" s="10" t="s">
        <v>9</v>
      </c>
      <c r="CI15" s="222" t="s">
        <v>8</v>
      </c>
      <c r="CJ15" s="223"/>
      <c r="CK15" s="223"/>
      <c r="CL15" s="223"/>
      <c r="CM15" s="223"/>
      <c r="CN15" s="223"/>
      <c r="CO15" s="223"/>
      <c r="CP15" s="223"/>
      <c r="CQ15" s="224" t="s">
        <v>10</v>
      </c>
      <c r="CR15" s="229" t="s">
        <v>11</v>
      </c>
      <c r="CS15" s="231" t="s">
        <v>12</v>
      </c>
    </row>
    <row r="16" spans="1:97" ht="15.75" thickBot="1" x14ac:dyDescent="0.3">
      <c r="A16" s="17"/>
      <c r="B16" s="24">
        <v>1</v>
      </c>
      <c r="C16" s="19" t="s">
        <v>13</v>
      </c>
      <c r="D16" s="20" t="s">
        <v>14</v>
      </c>
      <c r="E16" s="20" t="s">
        <v>15</v>
      </c>
      <c r="F16" s="20" t="s">
        <v>16</v>
      </c>
      <c r="G16" s="20" t="s">
        <v>17</v>
      </c>
      <c r="H16" s="21" t="s">
        <v>18</v>
      </c>
      <c r="I16" s="21" t="s">
        <v>19</v>
      </c>
      <c r="J16" s="22" t="s">
        <v>20</v>
      </c>
      <c r="K16" s="23"/>
      <c r="L16" s="16">
        <v>2</v>
      </c>
      <c r="M16" s="16">
        <v>3</v>
      </c>
      <c r="N16" s="16">
        <v>4</v>
      </c>
      <c r="O16" s="16">
        <v>5</v>
      </c>
      <c r="P16" s="16">
        <v>6</v>
      </c>
      <c r="Q16" s="24">
        <v>7</v>
      </c>
      <c r="R16" s="24">
        <v>8</v>
      </c>
      <c r="S16" s="19" t="s">
        <v>13</v>
      </c>
      <c r="T16" s="20" t="s">
        <v>14</v>
      </c>
      <c r="U16" s="20" t="s">
        <v>15</v>
      </c>
      <c r="V16" s="20" t="s">
        <v>16</v>
      </c>
      <c r="W16" s="20" t="s">
        <v>29</v>
      </c>
      <c r="X16" s="21" t="s">
        <v>18</v>
      </c>
      <c r="Y16" s="21" t="s">
        <v>19</v>
      </c>
      <c r="Z16" s="22" t="s">
        <v>20</v>
      </c>
      <c r="AA16" s="25"/>
      <c r="AB16" s="17">
        <v>9</v>
      </c>
      <c r="AC16" s="17">
        <v>10</v>
      </c>
      <c r="AD16" s="17">
        <v>11</v>
      </c>
      <c r="AE16" s="17">
        <v>12</v>
      </c>
      <c r="AF16" s="17">
        <v>13</v>
      </c>
      <c r="AG16" s="18">
        <v>14</v>
      </c>
      <c r="AH16" s="18">
        <v>15</v>
      </c>
      <c r="AI16" s="19" t="s">
        <v>13</v>
      </c>
      <c r="AJ16" s="20" t="s">
        <v>14</v>
      </c>
      <c r="AK16" s="20" t="s">
        <v>15</v>
      </c>
      <c r="AL16" s="20" t="s">
        <v>16</v>
      </c>
      <c r="AM16" s="20" t="s">
        <v>29</v>
      </c>
      <c r="AN16" s="21" t="s">
        <v>18</v>
      </c>
      <c r="AO16" s="21" t="s">
        <v>19</v>
      </c>
      <c r="AP16" s="22" t="s">
        <v>20</v>
      </c>
      <c r="AQ16" s="25"/>
      <c r="AR16" s="17">
        <v>16</v>
      </c>
      <c r="AS16" s="16">
        <v>17</v>
      </c>
      <c r="AT16" s="17">
        <v>18</v>
      </c>
      <c r="AU16" s="16">
        <v>19</v>
      </c>
      <c r="AV16" s="17">
        <v>20</v>
      </c>
      <c r="AW16" s="24">
        <v>21</v>
      </c>
      <c r="AX16" s="18">
        <v>22</v>
      </c>
      <c r="AY16" s="19" t="s">
        <v>13</v>
      </c>
      <c r="AZ16" s="20" t="s">
        <v>14</v>
      </c>
      <c r="BA16" s="20" t="s">
        <v>15</v>
      </c>
      <c r="BB16" s="20" t="s">
        <v>16</v>
      </c>
      <c r="BC16" s="20" t="s">
        <v>29</v>
      </c>
      <c r="BD16" s="21" t="s">
        <v>18</v>
      </c>
      <c r="BE16" s="21" t="s">
        <v>19</v>
      </c>
      <c r="BF16" s="22" t="s">
        <v>20</v>
      </c>
      <c r="BG16" s="25"/>
      <c r="BH16" s="26">
        <v>23</v>
      </c>
      <c r="BI16" s="26">
        <v>24</v>
      </c>
      <c r="BJ16" s="26">
        <v>25</v>
      </c>
      <c r="BK16" s="26">
        <v>26</v>
      </c>
      <c r="BL16" s="26">
        <v>27</v>
      </c>
      <c r="BM16" s="179">
        <v>28</v>
      </c>
      <c r="BN16" s="180">
        <v>29</v>
      </c>
      <c r="BO16" s="19" t="s">
        <v>13</v>
      </c>
      <c r="BP16" s="20" t="s">
        <v>14</v>
      </c>
      <c r="BQ16" s="20" t="s">
        <v>15</v>
      </c>
      <c r="BR16" s="20" t="s">
        <v>16</v>
      </c>
      <c r="BS16" s="20" t="s">
        <v>29</v>
      </c>
      <c r="BT16" s="21" t="s">
        <v>18</v>
      </c>
      <c r="BU16" s="21" t="s">
        <v>19</v>
      </c>
      <c r="BV16" s="22" t="s">
        <v>20</v>
      </c>
      <c r="BW16" s="23"/>
      <c r="BX16" s="27">
        <v>30</v>
      </c>
      <c r="BY16" s="181">
        <v>31</v>
      </c>
      <c r="BZ16" s="19" t="s">
        <v>13</v>
      </c>
      <c r="CA16" s="20" t="s">
        <v>14</v>
      </c>
      <c r="CB16" s="20" t="s">
        <v>15</v>
      </c>
      <c r="CC16" s="20" t="s">
        <v>16</v>
      </c>
      <c r="CD16" s="20" t="s">
        <v>29</v>
      </c>
      <c r="CE16" s="21" t="s">
        <v>18</v>
      </c>
      <c r="CF16" s="21" t="s">
        <v>19</v>
      </c>
      <c r="CG16" s="22" t="s">
        <v>20</v>
      </c>
      <c r="CH16" s="23"/>
      <c r="CI16" s="30" t="s">
        <v>13</v>
      </c>
      <c r="CJ16" s="29" t="s">
        <v>14</v>
      </c>
      <c r="CK16" s="29" t="s">
        <v>15</v>
      </c>
      <c r="CL16" s="29" t="s">
        <v>16</v>
      </c>
      <c r="CM16" s="29" t="s">
        <v>17</v>
      </c>
      <c r="CN16" s="30" t="s">
        <v>18</v>
      </c>
      <c r="CO16" s="29" t="s">
        <v>19</v>
      </c>
      <c r="CP16" s="29" t="s">
        <v>20</v>
      </c>
      <c r="CQ16" s="225"/>
      <c r="CR16" s="230"/>
      <c r="CS16" s="232"/>
    </row>
    <row r="17" spans="1:97" x14ac:dyDescent="0.25">
      <c r="A17" s="31" t="s">
        <v>26</v>
      </c>
      <c r="B17" s="43" t="s">
        <v>20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40">
        <f t="shared" ref="K17:K20" si="10">(10*C17)+(8*D17)+(9*E17)+(12*F17)+(11*G17)+(12*H17)+(9*I17)</f>
        <v>0</v>
      </c>
      <c r="L17" s="33" t="s">
        <v>18</v>
      </c>
      <c r="M17" s="33" t="s">
        <v>18</v>
      </c>
      <c r="N17" s="57" t="s">
        <v>20</v>
      </c>
      <c r="O17" s="57" t="s">
        <v>20</v>
      </c>
      <c r="P17" s="57" t="s">
        <v>20</v>
      </c>
      <c r="Q17" s="64" t="s">
        <v>18</v>
      </c>
      <c r="R17" s="64" t="s">
        <v>18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4</v>
      </c>
      <c r="Y17" s="37">
        <v>0</v>
      </c>
      <c r="Z17" s="37">
        <v>3</v>
      </c>
      <c r="AA17" s="40">
        <f t="shared" ref="AA17:AA20" si="11">(10*S17)+(8*T17)+(9*U17)+(12*V17)+(11*W17)+(12*X17)+(9*Y17)</f>
        <v>48</v>
      </c>
      <c r="AB17" s="66" t="s">
        <v>20</v>
      </c>
      <c r="AC17" s="57" t="s">
        <v>20</v>
      </c>
      <c r="AD17" s="33" t="s">
        <v>18</v>
      </c>
      <c r="AE17" s="59" t="s">
        <v>18</v>
      </c>
      <c r="AF17" s="59" t="s">
        <v>18</v>
      </c>
      <c r="AG17" s="43" t="s">
        <v>20</v>
      </c>
      <c r="AH17" s="43" t="s">
        <v>20</v>
      </c>
      <c r="AI17" s="36">
        <v>0</v>
      </c>
      <c r="AJ17" s="37">
        <v>0</v>
      </c>
      <c r="AK17" s="37">
        <v>0</v>
      </c>
      <c r="AL17" s="37">
        <v>0</v>
      </c>
      <c r="AM17" s="37">
        <v>0</v>
      </c>
      <c r="AN17" s="38">
        <v>3</v>
      </c>
      <c r="AO17" s="38">
        <v>0</v>
      </c>
      <c r="AP17" s="39">
        <v>4</v>
      </c>
      <c r="AQ17" s="40">
        <f t="shared" ref="AQ17:AQ20" si="12">(10*AI17)+(8*AJ17)+(9*AK17)+(12*AL17)+(11*AM17)+(12*AN17)+(9*AO17)</f>
        <v>36</v>
      </c>
      <c r="AR17" s="58" t="s">
        <v>18</v>
      </c>
      <c r="AS17" s="33" t="s">
        <v>18</v>
      </c>
      <c r="AT17" s="57" t="s">
        <v>20</v>
      </c>
      <c r="AU17" s="57" t="s">
        <v>20</v>
      </c>
      <c r="AV17" s="67" t="s">
        <v>20</v>
      </c>
      <c r="AW17" s="64" t="s">
        <v>18</v>
      </c>
      <c r="AX17" s="68" t="s">
        <v>18</v>
      </c>
      <c r="AY17" s="36">
        <v>0</v>
      </c>
      <c r="AZ17" s="37">
        <v>0</v>
      </c>
      <c r="BA17" s="37">
        <v>0</v>
      </c>
      <c r="BB17" s="37">
        <v>0</v>
      </c>
      <c r="BC17" s="37">
        <v>0</v>
      </c>
      <c r="BD17" s="38">
        <v>4</v>
      </c>
      <c r="BE17" s="38">
        <v>0</v>
      </c>
      <c r="BF17" s="39">
        <v>3</v>
      </c>
      <c r="BG17" s="40">
        <f t="shared" ref="BG17:BG20" si="13">(10*AY17)+(8*AZ17)+(9*BA17)+(12*BB17)+(11*BC17)+(12*BD17)+(9*BE17)</f>
        <v>48</v>
      </c>
      <c r="BH17" s="204" t="s">
        <v>20</v>
      </c>
      <c r="BI17" s="77" t="s">
        <v>20</v>
      </c>
      <c r="BJ17" s="63" t="s">
        <v>18</v>
      </c>
      <c r="BK17" s="63" t="s">
        <v>18</v>
      </c>
      <c r="BL17" s="63" t="s">
        <v>18</v>
      </c>
      <c r="BM17" s="196" t="s">
        <v>20</v>
      </c>
      <c r="BN17" s="184" t="s">
        <v>20</v>
      </c>
      <c r="BO17" s="36">
        <v>0</v>
      </c>
      <c r="BP17" s="37">
        <v>0</v>
      </c>
      <c r="BQ17" s="37">
        <v>0</v>
      </c>
      <c r="BR17" s="37">
        <v>0</v>
      </c>
      <c r="BS17" s="37">
        <v>0</v>
      </c>
      <c r="BT17" s="38">
        <v>3</v>
      </c>
      <c r="BU17" s="38">
        <v>0</v>
      </c>
      <c r="BV17" s="39">
        <v>4</v>
      </c>
      <c r="BW17" s="40">
        <f t="shared" ref="BW17:BW20" si="14">(10*BO17)+(8*BP17)+(9*BQ17)+(12*BR17)+(11*BS17)+(12*BT17)+(9*BU17)</f>
        <v>36</v>
      </c>
      <c r="BX17" s="212" t="s">
        <v>18</v>
      </c>
      <c r="BY17" s="215" t="s">
        <v>18</v>
      </c>
      <c r="BZ17" s="37">
        <v>0</v>
      </c>
      <c r="CA17" s="37">
        <v>0</v>
      </c>
      <c r="CB17" s="37">
        <v>0</v>
      </c>
      <c r="CC17" s="37">
        <v>0</v>
      </c>
      <c r="CD17" s="37">
        <v>0</v>
      </c>
      <c r="CE17" s="37">
        <v>2</v>
      </c>
      <c r="CF17" s="37">
        <v>0</v>
      </c>
      <c r="CG17" s="37">
        <v>0</v>
      </c>
      <c r="CH17" s="40">
        <f t="shared" ref="CH17" si="15">(10*BZ17)+(8*CA17)+(9*CB17)+(12*CC17)+(11*CD17)+(12*CE17)+(9*CF17)</f>
        <v>24</v>
      </c>
      <c r="CI17" s="49">
        <f t="shared" ref="CI17:CP20" si="16">SUM(C17,S17,AI17,AY17,BO17,BZ17)</f>
        <v>0</v>
      </c>
      <c r="CJ17" s="49">
        <f t="shared" si="16"/>
        <v>0</v>
      </c>
      <c r="CK17" s="49">
        <f t="shared" si="16"/>
        <v>0</v>
      </c>
      <c r="CL17" s="49">
        <f t="shared" si="16"/>
        <v>0</v>
      </c>
      <c r="CM17" s="49">
        <f t="shared" si="16"/>
        <v>0</v>
      </c>
      <c r="CN17" s="49">
        <f t="shared" si="16"/>
        <v>16</v>
      </c>
      <c r="CO17" s="49">
        <f t="shared" si="16"/>
        <v>0</v>
      </c>
      <c r="CP17" s="49">
        <f t="shared" si="16"/>
        <v>14</v>
      </c>
      <c r="CQ17" s="50">
        <f t="shared" ref="CQ17" si="17">SUM(CI17:CO17)</f>
        <v>16</v>
      </c>
      <c r="CR17" s="51">
        <f>SUM(K17,AA17,AQ17,BG17,BW17,CH17)</f>
        <v>192</v>
      </c>
      <c r="CS17" s="52">
        <f t="shared" ref="CS17" si="18">CR17-180</f>
        <v>12</v>
      </c>
    </row>
    <row r="18" spans="1:97" x14ac:dyDescent="0.25">
      <c r="A18" s="31" t="s">
        <v>57</v>
      </c>
      <c r="B18" s="64" t="s">
        <v>18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1</v>
      </c>
      <c r="I18" s="37">
        <v>0</v>
      </c>
      <c r="J18" s="37">
        <v>0</v>
      </c>
      <c r="K18" s="40">
        <f t="shared" si="10"/>
        <v>12</v>
      </c>
      <c r="L18" s="57" t="s">
        <v>20</v>
      </c>
      <c r="M18" s="57" t="s">
        <v>20</v>
      </c>
      <c r="N18" s="33" t="s">
        <v>18</v>
      </c>
      <c r="O18" s="33" t="s">
        <v>18</v>
      </c>
      <c r="P18" s="33" t="s">
        <v>18</v>
      </c>
      <c r="Q18" s="43" t="s">
        <v>20</v>
      </c>
      <c r="R18" s="43" t="s">
        <v>20</v>
      </c>
      <c r="S18" s="36">
        <v>0</v>
      </c>
      <c r="T18" s="37">
        <v>0</v>
      </c>
      <c r="U18" s="37">
        <v>0</v>
      </c>
      <c r="V18" s="37">
        <v>0</v>
      </c>
      <c r="W18" s="37">
        <v>0</v>
      </c>
      <c r="X18" s="38">
        <v>3</v>
      </c>
      <c r="Y18" s="38">
        <v>0</v>
      </c>
      <c r="Z18" s="39">
        <v>4</v>
      </c>
      <c r="AA18" s="40">
        <f t="shared" si="11"/>
        <v>36</v>
      </c>
      <c r="AB18" s="58" t="s">
        <v>18</v>
      </c>
      <c r="AC18" s="33" t="s">
        <v>18</v>
      </c>
      <c r="AD18" s="57" t="s">
        <v>20</v>
      </c>
      <c r="AE18" s="67" t="s">
        <v>20</v>
      </c>
      <c r="AF18" s="67" t="s">
        <v>20</v>
      </c>
      <c r="AG18" s="64" t="s">
        <v>18</v>
      </c>
      <c r="AH18" s="65" t="s">
        <v>18</v>
      </c>
      <c r="AI18" s="36">
        <v>0</v>
      </c>
      <c r="AJ18" s="37">
        <v>0</v>
      </c>
      <c r="AK18" s="37">
        <v>0</v>
      </c>
      <c r="AL18" s="37">
        <v>0</v>
      </c>
      <c r="AM18" s="37">
        <v>0</v>
      </c>
      <c r="AN18" s="38">
        <v>4</v>
      </c>
      <c r="AO18" s="38">
        <v>0</v>
      </c>
      <c r="AP18" s="39">
        <v>3</v>
      </c>
      <c r="AQ18" s="40">
        <f t="shared" si="12"/>
        <v>48</v>
      </c>
      <c r="AR18" s="66" t="s">
        <v>20</v>
      </c>
      <c r="AS18" s="57" t="s">
        <v>20</v>
      </c>
      <c r="AT18" s="33" t="s">
        <v>18</v>
      </c>
      <c r="AU18" s="33" t="s">
        <v>18</v>
      </c>
      <c r="AV18" s="33" t="s">
        <v>18</v>
      </c>
      <c r="AW18" s="43" t="s">
        <v>20</v>
      </c>
      <c r="AX18" s="60" t="s">
        <v>20</v>
      </c>
      <c r="AY18" s="36">
        <v>0</v>
      </c>
      <c r="AZ18" s="37">
        <v>0</v>
      </c>
      <c r="BA18" s="37">
        <v>0</v>
      </c>
      <c r="BB18" s="37">
        <v>0</v>
      </c>
      <c r="BC18" s="37">
        <v>0</v>
      </c>
      <c r="BD18" s="38">
        <v>3</v>
      </c>
      <c r="BE18" s="38">
        <v>0</v>
      </c>
      <c r="BF18" s="39">
        <v>4</v>
      </c>
      <c r="BG18" s="40">
        <f t="shared" si="13"/>
        <v>36</v>
      </c>
      <c r="BH18" s="210" t="s">
        <v>18</v>
      </c>
      <c r="BI18" s="63" t="s">
        <v>18</v>
      </c>
      <c r="BJ18" s="77" t="s">
        <v>20</v>
      </c>
      <c r="BK18" s="77" t="s">
        <v>20</v>
      </c>
      <c r="BL18" s="77" t="s">
        <v>20</v>
      </c>
      <c r="BM18" s="211" t="s">
        <v>18</v>
      </c>
      <c r="BN18" s="108" t="s">
        <v>18</v>
      </c>
      <c r="BO18" s="36">
        <v>0</v>
      </c>
      <c r="BP18" s="37">
        <v>0</v>
      </c>
      <c r="BQ18" s="37">
        <v>0</v>
      </c>
      <c r="BR18" s="37">
        <v>0</v>
      </c>
      <c r="BS18" s="37">
        <v>0</v>
      </c>
      <c r="BT18" s="38">
        <v>4</v>
      </c>
      <c r="BU18" s="38">
        <v>0</v>
      </c>
      <c r="BV18" s="39">
        <v>4</v>
      </c>
      <c r="BW18" s="40">
        <f t="shared" si="14"/>
        <v>48</v>
      </c>
      <c r="BX18" s="216" t="s">
        <v>20</v>
      </c>
      <c r="BY18" s="203" t="s">
        <v>20</v>
      </c>
      <c r="BZ18" s="37">
        <v>0</v>
      </c>
      <c r="CA18" s="37">
        <v>0</v>
      </c>
      <c r="CB18" s="37">
        <v>0</v>
      </c>
      <c r="CC18" s="37">
        <v>0</v>
      </c>
      <c r="CD18" s="37">
        <v>0</v>
      </c>
      <c r="CE18" s="37">
        <v>0</v>
      </c>
      <c r="CF18" s="37">
        <v>0</v>
      </c>
      <c r="CG18" s="37">
        <v>0</v>
      </c>
      <c r="CH18" s="40">
        <f>(10*BZ18)+(8*CA18)+(9*CB18)+(12*CC18)+(11*CD18)+(12*CE18)+(9*CF18)</f>
        <v>0</v>
      </c>
      <c r="CI18" s="49">
        <f t="shared" si="16"/>
        <v>0</v>
      </c>
      <c r="CJ18" s="49">
        <f t="shared" si="16"/>
        <v>0</v>
      </c>
      <c r="CK18" s="49">
        <f t="shared" si="16"/>
        <v>0</v>
      </c>
      <c r="CL18" s="49">
        <f t="shared" si="16"/>
        <v>0</v>
      </c>
      <c r="CM18" s="49">
        <f t="shared" si="16"/>
        <v>0</v>
      </c>
      <c r="CN18" s="49">
        <f t="shared" si="16"/>
        <v>15</v>
      </c>
      <c r="CO18" s="49">
        <f t="shared" si="16"/>
        <v>0</v>
      </c>
      <c r="CP18" s="49">
        <f t="shared" si="16"/>
        <v>15</v>
      </c>
      <c r="CQ18" s="50">
        <f>SUM(CI18:CO18)</f>
        <v>15</v>
      </c>
      <c r="CR18" s="51">
        <f>SUM(K18,AA18,AQ18,BG18,BW18,CH18)</f>
        <v>180</v>
      </c>
      <c r="CS18" s="52">
        <f>CR18-180</f>
        <v>0</v>
      </c>
    </row>
    <row r="19" spans="1:97" x14ac:dyDescent="0.25">
      <c r="A19" s="99" t="s">
        <v>56</v>
      </c>
      <c r="B19" s="64" t="s">
        <v>18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1</v>
      </c>
      <c r="I19" s="37">
        <v>0</v>
      </c>
      <c r="J19" s="37">
        <v>0</v>
      </c>
      <c r="K19" s="40">
        <f t="shared" si="10"/>
        <v>12</v>
      </c>
      <c r="L19" s="57" t="s">
        <v>20</v>
      </c>
      <c r="M19" s="57" t="s">
        <v>20</v>
      </c>
      <c r="N19" s="33" t="s">
        <v>18</v>
      </c>
      <c r="O19" s="33" t="s">
        <v>18</v>
      </c>
      <c r="P19" s="33" t="s">
        <v>18</v>
      </c>
      <c r="Q19" s="43" t="s">
        <v>20</v>
      </c>
      <c r="R19" s="43" t="s">
        <v>20</v>
      </c>
      <c r="S19" s="36">
        <v>0</v>
      </c>
      <c r="T19" s="37">
        <v>0</v>
      </c>
      <c r="U19" s="37">
        <v>0</v>
      </c>
      <c r="V19" s="37">
        <v>0</v>
      </c>
      <c r="W19" s="37">
        <v>0</v>
      </c>
      <c r="X19" s="38">
        <v>3</v>
      </c>
      <c r="Y19" s="38">
        <v>0</v>
      </c>
      <c r="Z19" s="39">
        <v>4</v>
      </c>
      <c r="AA19" s="40">
        <f t="shared" si="11"/>
        <v>36</v>
      </c>
      <c r="AB19" s="58" t="s">
        <v>18</v>
      </c>
      <c r="AC19" s="33" t="s">
        <v>18</v>
      </c>
      <c r="AD19" s="57" t="s">
        <v>20</v>
      </c>
      <c r="AE19" s="67" t="s">
        <v>20</v>
      </c>
      <c r="AF19" s="67" t="s">
        <v>20</v>
      </c>
      <c r="AG19" s="64" t="s">
        <v>18</v>
      </c>
      <c r="AH19" s="65" t="s">
        <v>18</v>
      </c>
      <c r="AI19" s="36">
        <v>0</v>
      </c>
      <c r="AJ19" s="37">
        <v>0</v>
      </c>
      <c r="AK19" s="37">
        <v>0</v>
      </c>
      <c r="AL19" s="37">
        <v>0</v>
      </c>
      <c r="AM19" s="37">
        <v>0</v>
      </c>
      <c r="AN19" s="38">
        <v>4</v>
      </c>
      <c r="AO19" s="38">
        <v>0</v>
      </c>
      <c r="AP19" s="39">
        <v>3</v>
      </c>
      <c r="AQ19" s="40">
        <f t="shared" si="12"/>
        <v>48</v>
      </c>
      <c r="AR19" s="66" t="s">
        <v>20</v>
      </c>
      <c r="AS19" s="57" t="s">
        <v>20</v>
      </c>
      <c r="AT19" s="33" t="s">
        <v>18</v>
      </c>
      <c r="AU19" s="33" t="s">
        <v>18</v>
      </c>
      <c r="AV19" s="33" t="s">
        <v>18</v>
      </c>
      <c r="AW19" s="43" t="s">
        <v>20</v>
      </c>
      <c r="AX19" s="60" t="s">
        <v>20</v>
      </c>
      <c r="AY19" s="36">
        <v>0</v>
      </c>
      <c r="AZ19" s="37">
        <v>0</v>
      </c>
      <c r="BA19" s="37">
        <v>0</v>
      </c>
      <c r="BB19" s="37">
        <v>0</v>
      </c>
      <c r="BC19" s="37">
        <v>0</v>
      </c>
      <c r="BD19" s="38">
        <v>3</v>
      </c>
      <c r="BE19" s="38">
        <v>0</v>
      </c>
      <c r="BF19" s="39">
        <v>4</v>
      </c>
      <c r="BG19" s="40">
        <f t="shared" si="13"/>
        <v>36</v>
      </c>
      <c r="BH19" s="210" t="s">
        <v>18</v>
      </c>
      <c r="BI19" s="63" t="s">
        <v>18</v>
      </c>
      <c r="BJ19" s="77" t="s">
        <v>20</v>
      </c>
      <c r="BK19" s="77" t="s">
        <v>20</v>
      </c>
      <c r="BL19" s="77" t="s">
        <v>20</v>
      </c>
      <c r="BM19" s="211" t="s">
        <v>18</v>
      </c>
      <c r="BN19" s="108" t="s">
        <v>18</v>
      </c>
      <c r="BO19" s="36">
        <v>0</v>
      </c>
      <c r="BP19" s="37">
        <v>0</v>
      </c>
      <c r="BQ19" s="37">
        <v>0</v>
      </c>
      <c r="BR19" s="37">
        <v>0</v>
      </c>
      <c r="BS19" s="37">
        <v>0</v>
      </c>
      <c r="BT19" s="38">
        <v>4</v>
      </c>
      <c r="BU19" s="38">
        <v>0</v>
      </c>
      <c r="BV19" s="39">
        <v>4</v>
      </c>
      <c r="BW19" s="40">
        <f t="shared" si="14"/>
        <v>48</v>
      </c>
      <c r="BX19" s="216" t="s">
        <v>20</v>
      </c>
      <c r="BY19" s="203" t="s">
        <v>20</v>
      </c>
      <c r="BZ19" s="37">
        <v>0</v>
      </c>
      <c r="CA19" s="37">
        <v>0</v>
      </c>
      <c r="CB19" s="37">
        <v>0</v>
      </c>
      <c r="CC19" s="37">
        <v>0</v>
      </c>
      <c r="CD19" s="37">
        <v>0</v>
      </c>
      <c r="CE19" s="37">
        <v>0</v>
      </c>
      <c r="CF19" s="37">
        <v>0</v>
      </c>
      <c r="CG19" s="37">
        <v>0</v>
      </c>
      <c r="CH19" s="40">
        <f>(10*BZ19)+(8*CA19)+(9*CB19)+(12*CC19)+(11*CD19)+(12*CE19)+(9*CF19)</f>
        <v>0</v>
      </c>
      <c r="CI19" s="49">
        <f t="shared" si="16"/>
        <v>0</v>
      </c>
      <c r="CJ19" s="49">
        <f t="shared" si="16"/>
        <v>0</v>
      </c>
      <c r="CK19" s="49">
        <f t="shared" si="16"/>
        <v>0</v>
      </c>
      <c r="CL19" s="49">
        <f t="shared" si="16"/>
        <v>0</v>
      </c>
      <c r="CM19" s="49">
        <f t="shared" si="16"/>
        <v>0</v>
      </c>
      <c r="CN19" s="49">
        <f t="shared" si="16"/>
        <v>15</v>
      </c>
      <c r="CO19" s="49">
        <f t="shared" si="16"/>
        <v>0</v>
      </c>
      <c r="CP19" s="49">
        <f t="shared" si="16"/>
        <v>15</v>
      </c>
      <c r="CQ19" s="50">
        <f>SUM(CI19:CO19)</f>
        <v>15</v>
      </c>
      <c r="CR19" s="51">
        <f>SUM(K19,AA19,AQ19,BG19,BW19,CH19)</f>
        <v>180</v>
      </c>
      <c r="CS19" s="52">
        <f>CR19-180</f>
        <v>0</v>
      </c>
    </row>
    <row r="20" spans="1:97" x14ac:dyDescent="0.25">
      <c r="A20" s="31" t="s">
        <v>33</v>
      </c>
      <c r="B20" s="43" t="s">
        <v>20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40">
        <f t="shared" si="10"/>
        <v>0</v>
      </c>
      <c r="L20" s="33" t="s">
        <v>18</v>
      </c>
      <c r="M20" s="33" t="s">
        <v>18</v>
      </c>
      <c r="N20" s="57" t="s">
        <v>20</v>
      </c>
      <c r="O20" s="57" t="s">
        <v>20</v>
      </c>
      <c r="P20" s="57" t="s">
        <v>20</v>
      </c>
      <c r="Q20" s="64" t="s">
        <v>18</v>
      </c>
      <c r="R20" s="64" t="s">
        <v>18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4</v>
      </c>
      <c r="Y20" s="37">
        <v>0</v>
      </c>
      <c r="Z20" s="37">
        <v>3</v>
      </c>
      <c r="AA20" s="40">
        <f t="shared" si="11"/>
        <v>48</v>
      </c>
      <c r="AB20" s="66" t="s">
        <v>20</v>
      </c>
      <c r="AC20" s="57" t="s">
        <v>20</v>
      </c>
      <c r="AD20" s="33" t="s">
        <v>18</v>
      </c>
      <c r="AE20" s="59" t="s">
        <v>18</v>
      </c>
      <c r="AF20" s="59" t="s">
        <v>18</v>
      </c>
      <c r="AG20" s="43" t="s">
        <v>20</v>
      </c>
      <c r="AH20" s="43" t="s">
        <v>20</v>
      </c>
      <c r="AI20" s="36">
        <v>0</v>
      </c>
      <c r="AJ20" s="37">
        <v>0</v>
      </c>
      <c r="AK20" s="37">
        <v>0</v>
      </c>
      <c r="AL20" s="37">
        <v>0</v>
      </c>
      <c r="AM20" s="37">
        <v>0</v>
      </c>
      <c r="AN20" s="38">
        <v>3</v>
      </c>
      <c r="AO20" s="38">
        <v>0</v>
      </c>
      <c r="AP20" s="39">
        <v>4</v>
      </c>
      <c r="AQ20" s="40">
        <f t="shared" si="12"/>
        <v>36</v>
      </c>
      <c r="AR20" s="58" t="s">
        <v>18</v>
      </c>
      <c r="AS20" s="33" t="s">
        <v>18</v>
      </c>
      <c r="AT20" s="57" t="s">
        <v>20</v>
      </c>
      <c r="AU20" s="57" t="s">
        <v>20</v>
      </c>
      <c r="AV20" s="67" t="s">
        <v>20</v>
      </c>
      <c r="AW20" s="64" t="s">
        <v>18</v>
      </c>
      <c r="AX20" s="68" t="s">
        <v>18</v>
      </c>
      <c r="AY20" s="36">
        <v>0</v>
      </c>
      <c r="AZ20" s="37">
        <v>0</v>
      </c>
      <c r="BA20" s="37">
        <v>0</v>
      </c>
      <c r="BB20" s="37">
        <v>0</v>
      </c>
      <c r="BC20" s="37">
        <v>0</v>
      </c>
      <c r="BD20" s="38">
        <v>4</v>
      </c>
      <c r="BE20" s="38">
        <v>0</v>
      </c>
      <c r="BF20" s="39">
        <v>3</v>
      </c>
      <c r="BG20" s="40">
        <f t="shared" si="13"/>
        <v>48</v>
      </c>
      <c r="BH20" s="204" t="s">
        <v>20</v>
      </c>
      <c r="BI20" s="77" t="s">
        <v>20</v>
      </c>
      <c r="BJ20" s="63" t="s">
        <v>18</v>
      </c>
      <c r="BK20" s="63" t="s">
        <v>18</v>
      </c>
      <c r="BL20" s="63" t="s">
        <v>18</v>
      </c>
      <c r="BM20" s="196" t="s">
        <v>20</v>
      </c>
      <c r="BN20" s="184" t="s">
        <v>20</v>
      </c>
      <c r="BO20" s="36">
        <v>0</v>
      </c>
      <c r="BP20" s="37">
        <v>0</v>
      </c>
      <c r="BQ20" s="37">
        <v>0</v>
      </c>
      <c r="BR20" s="37">
        <v>0</v>
      </c>
      <c r="BS20" s="37">
        <v>0</v>
      </c>
      <c r="BT20" s="38">
        <v>3</v>
      </c>
      <c r="BU20" s="38">
        <v>0</v>
      </c>
      <c r="BV20" s="39">
        <v>4</v>
      </c>
      <c r="BW20" s="40">
        <f t="shared" si="14"/>
        <v>36</v>
      </c>
      <c r="BX20" s="212" t="s">
        <v>18</v>
      </c>
      <c r="BY20" s="215" t="s">
        <v>18</v>
      </c>
      <c r="BZ20" s="37">
        <v>0</v>
      </c>
      <c r="CA20" s="37">
        <v>0</v>
      </c>
      <c r="CB20" s="37">
        <v>0</v>
      </c>
      <c r="CC20" s="37">
        <v>0</v>
      </c>
      <c r="CD20" s="37">
        <v>0</v>
      </c>
      <c r="CE20" s="37">
        <v>2</v>
      </c>
      <c r="CF20" s="37">
        <v>0</v>
      </c>
      <c r="CG20" s="37">
        <v>0</v>
      </c>
      <c r="CH20" s="40">
        <f t="shared" ref="CH20" si="19">(10*BZ20)+(8*CA20)+(9*CB20)+(12*CC20)+(11*CD20)+(12*CE20)+(9*CF20)</f>
        <v>24</v>
      </c>
      <c r="CI20" s="49">
        <f t="shared" si="16"/>
        <v>0</v>
      </c>
      <c r="CJ20" s="49">
        <f t="shared" si="16"/>
        <v>0</v>
      </c>
      <c r="CK20" s="49">
        <f t="shared" si="16"/>
        <v>0</v>
      </c>
      <c r="CL20" s="49">
        <f t="shared" si="16"/>
        <v>0</v>
      </c>
      <c r="CM20" s="49">
        <f t="shared" si="16"/>
        <v>0</v>
      </c>
      <c r="CN20" s="49">
        <f t="shared" si="16"/>
        <v>16</v>
      </c>
      <c r="CO20" s="49">
        <f t="shared" si="16"/>
        <v>0</v>
      </c>
      <c r="CP20" s="49">
        <f t="shared" si="16"/>
        <v>14</v>
      </c>
      <c r="CQ20" s="50">
        <v>16</v>
      </c>
      <c r="CR20" s="51">
        <f>SUM(K20,AA20,AQ20,BG20,BW20,CH20)</f>
        <v>192</v>
      </c>
      <c r="CS20" s="52">
        <f t="shared" ref="CS20" si="20">CR20-180</f>
        <v>12</v>
      </c>
    </row>
    <row r="21" spans="1:97" x14ac:dyDescent="0.25">
      <c r="A21" s="89"/>
      <c r="B21" s="57"/>
      <c r="C21" s="87"/>
      <c r="D21" s="87"/>
      <c r="E21" s="87"/>
      <c r="F21" s="87"/>
      <c r="G21" s="87"/>
      <c r="H21" s="87"/>
      <c r="I21" s="87"/>
      <c r="J21" s="87"/>
      <c r="K21" s="100"/>
      <c r="L21" s="100"/>
      <c r="M21" s="85"/>
      <c r="N21" s="85"/>
      <c r="O21" s="85"/>
      <c r="P21" s="100"/>
      <c r="Q21" s="100"/>
      <c r="R21" s="87"/>
      <c r="S21" s="87"/>
      <c r="T21" s="87"/>
      <c r="U21" s="87"/>
      <c r="V21" s="87"/>
      <c r="W21" s="87"/>
      <c r="X21" s="87"/>
      <c r="Y21" s="87"/>
      <c r="Z21" s="87"/>
      <c r="AA21" s="85"/>
      <c r="AB21" s="100"/>
      <c r="AC21" s="85"/>
      <c r="AD21" s="100"/>
      <c r="AE21" s="100"/>
      <c r="AF21" s="85"/>
      <c r="AG21" s="85"/>
      <c r="AH21" s="87"/>
      <c r="AI21" s="87"/>
      <c r="AJ21" s="87"/>
      <c r="AK21" s="87"/>
      <c r="AL21" s="87"/>
      <c r="AM21" s="87"/>
      <c r="AN21" s="87"/>
      <c r="AO21" s="87"/>
      <c r="AP21" s="87"/>
      <c r="AQ21" s="100"/>
      <c r="AR21" s="85"/>
      <c r="AS21" s="100"/>
      <c r="AT21" s="85"/>
      <c r="AU21" s="85"/>
      <c r="AV21" s="85"/>
      <c r="AW21" s="85"/>
      <c r="AX21" s="85"/>
      <c r="AY21" s="85"/>
      <c r="AZ21" s="100"/>
      <c r="BA21" s="100"/>
      <c r="BB21" s="87"/>
      <c r="BC21" s="87"/>
      <c r="BD21" s="87"/>
      <c r="BE21" s="87"/>
      <c r="BF21" s="87"/>
      <c r="BG21" s="100"/>
      <c r="BH21" s="100"/>
      <c r="BI21" s="100"/>
      <c r="BJ21" s="100"/>
      <c r="BK21" s="100"/>
      <c r="BL21" s="100"/>
      <c r="BM21" s="100"/>
      <c r="BN21" s="100"/>
      <c r="BX21" s="132"/>
      <c r="BY21" s="206"/>
      <c r="BZ21" s="87"/>
      <c r="CA21" s="87"/>
      <c r="CB21" s="87"/>
      <c r="CC21" s="87"/>
      <c r="CD21" s="87"/>
      <c r="CE21" s="87"/>
      <c r="CF21" s="87"/>
      <c r="CG21" s="87"/>
    </row>
    <row r="22" spans="1:97" x14ac:dyDescent="0.25">
      <c r="B22" s="57"/>
      <c r="C22" s="87"/>
      <c r="D22" s="87"/>
      <c r="E22" s="87"/>
      <c r="F22" s="87"/>
      <c r="G22" s="87"/>
      <c r="H22" s="87"/>
      <c r="I22" s="87"/>
      <c r="J22" s="87"/>
      <c r="K22" s="100"/>
      <c r="L22" s="100"/>
      <c r="M22" s="85"/>
      <c r="N22" s="85"/>
      <c r="O22" s="85"/>
      <c r="P22" s="100"/>
      <c r="Q22" s="100"/>
      <c r="R22" s="87"/>
      <c r="S22" s="87"/>
      <c r="T22" s="87"/>
      <c r="U22" s="87"/>
      <c r="V22" s="87"/>
      <c r="W22" s="87"/>
      <c r="X22" s="87"/>
      <c r="Y22" s="87"/>
      <c r="Z22" s="87"/>
      <c r="AA22" s="85"/>
      <c r="AB22" s="100"/>
      <c r="AC22" s="85"/>
      <c r="AD22" s="100"/>
      <c r="AE22" s="100"/>
      <c r="AF22" s="85"/>
      <c r="AG22" s="85"/>
      <c r="AH22" s="87"/>
      <c r="AI22" s="87"/>
      <c r="AJ22" s="87"/>
      <c r="AK22" s="87"/>
      <c r="AL22" s="87"/>
      <c r="AM22" s="87"/>
      <c r="AN22" s="87"/>
      <c r="AO22" s="87"/>
      <c r="AP22" s="87"/>
      <c r="AQ22" s="100"/>
      <c r="AR22" s="85"/>
      <c r="AS22" s="100"/>
      <c r="AT22" s="85"/>
      <c r="AU22" s="85"/>
      <c r="AV22" s="85"/>
      <c r="AW22" s="85"/>
      <c r="AX22" s="85"/>
      <c r="AY22" s="85"/>
      <c r="AZ22" s="100"/>
      <c r="BA22" s="100"/>
      <c r="BB22" s="87"/>
      <c r="BC22" s="87"/>
      <c r="BD22" s="87"/>
      <c r="BE22" s="87"/>
      <c r="BF22" s="87"/>
      <c r="BG22" s="100"/>
      <c r="BH22" s="100"/>
      <c r="BI22" s="100"/>
      <c r="BJ22" s="100"/>
      <c r="BK22" s="100"/>
      <c r="BL22" s="100"/>
      <c r="BM22" s="100"/>
      <c r="BN22" s="100"/>
      <c r="BX22" s="132"/>
      <c r="BY22" s="206"/>
      <c r="BZ22" s="87"/>
      <c r="CA22" s="87"/>
      <c r="CB22" s="87"/>
      <c r="CC22" s="87"/>
      <c r="CD22" s="87"/>
      <c r="CE22" s="87"/>
      <c r="CF22" s="87"/>
      <c r="CG22" s="87"/>
    </row>
    <row r="23" spans="1:97" x14ac:dyDescent="0.25">
      <c r="A23" s="194" t="s">
        <v>51</v>
      </c>
      <c r="B23" s="43" t="s">
        <v>20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2</v>
      </c>
      <c r="K23" s="40">
        <f>(10*C23)+(8*D23)+(10*E23)+(12*F23)+(10*G23)+(12*H23)+(9*I23)</f>
        <v>0</v>
      </c>
      <c r="L23" s="58" t="s">
        <v>15</v>
      </c>
      <c r="M23" s="33" t="s">
        <v>15</v>
      </c>
      <c r="N23" s="33" t="s">
        <v>15</v>
      </c>
      <c r="O23" s="33" t="s">
        <v>15</v>
      </c>
      <c r="P23" s="33" t="s">
        <v>15</v>
      </c>
      <c r="Q23" s="43" t="s">
        <v>20</v>
      </c>
      <c r="R23" s="44" t="s">
        <v>20</v>
      </c>
      <c r="S23" s="36">
        <v>0</v>
      </c>
      <c r="T23" s="37">
        <v>0</v>
      </c>
      <c r="U23" s="37">
        <v>1</v>
      </c>
      <c r="V23" s="37">
        <v>0</v>
      </c>
      <c r="W23" s="37">
        <v>0</v>
      </c>
      <c r="X23" s="38">
        <v>0</v>
      </c>
      <c r="Y23" s="38">
        <v>0</v>
      </c>
      <c r="Z23" s="39">
        <v>6</v>
      </c>
      <c r="AA23" s="40">
        <v>45</v>
      </c>
      <c r="AB23" s="58" t="s">
        <v>15</v>
      </c>
      <c r="AC23" s="53" t="s">
        <v>15</v>
      </c>
      <c r="AD23" s="53" t="s">
        <v>15</v>
      </c>
      <c r="AE23" s="53" t="s">
        <v>15</v>
      </c>
      <c r="AF23" s="53" t="s">
        <v>15</v>
      </c>
      <c r="AG23" s="43" t="s">
        <v>20</v>
      </c>
      <c r="AH23" s="44" t="s">
        <v>20</v>
      </c>
      <c r="AI23" s="36">
        <v>0</v>
      </c>
      <c r="AJ23" s="37">
        <v>0</v>
      </c>
      <c r="AK23" s="37">
        <v>5</v>
      </c>
      <c r="AL23" s="37">
        <v>0</v>
      </c>
      <c r="AM23" s="37">
        <v>0</v>
      </c>
      <c r="AN23" s="38">
        <v>0</v>
      </c>
      <c r="AO23" s="38">
        <v>0</v>
      </c>
      <c r="AP23" s="39">
        <v>2</v>
      </c>
      <c r="AQ23" s="40">
        <v>45</v>
      </c>
      <c r="AR23" s="58" t="s">
        <v>15</v>
      </c>
      <c r="AS23" s="53" t="s">
        <v>15</v>
      </c>
      <c r="AT23" s="53" t="s">
        <v>15</v>
      </c>
      <c r="AU23" s="53" t="s">
        <v>15</v>
      </c>
      <c r="AV23" s="57" t="s">
        <v>20</v>
      </c>
      <c r="AW23" s="43" t="s">
        <v>20</v>
      </c>
      <c r="AX23" s="44" t="s">
        <v>20</v>
      </c>
      <c r="AY23" s="36">
        <v>0</v>
      </c>
      <c r="AZ23" s="37">
        <v>0</v>
      </c>
      <c r="BA23" s="37">
        <v>4</v>
      </c>
      <c r="BB23" s="37">
        <v>0</v>
      </c>
      <c r="BC23" s="37">
        <v>0</v>
      </c>
      <c r="BD23" s="38">
        <v>0</v>
      </c>
      <c r="BE23" s="38">
        <v>0</v>
      </c>
      <c r="BF23" s="39">
        <v>2</v>
      </c>
      <c r="BG23" s="40">
        <v>36</v>
      </c>
      <c r="BH23" s="55" t="s">
        <v>15</v>
      </c>
      <c r="BI23" s="33" t="s">
        <v>15</v>
      </c>
      <c r="BJ23" s="53" t="s">
        <v>15</v>
      </c>
      <c r="BK23" s="53" t="s">
        <v>15</v>
      </c>
      <c r="BL23" s="33" t="s">
        <v>15</v>
      </c>
      <c r="BM23" s="43" t="s">
        <v>20</v>
      </c>
      <c r="BN23" s="43" t="s">
        <v>20</v>
      </c>
      <c r="BO23" s="36">
        <v>0</v>
      </c>
      <c r="BP23" s="37">
        <v>0</v>
      </c>
      <c r="BQ23" s="37">
        <v>5</v>
      </c>
      <c r="BR23" s="37">
        <v>0</v>
      </c>
      <c r="BS23" s="37">
        <v>0</v>
      </c>
      <c r="BT23" s="38">
        <v>0</v>
      </c>
      <c r="BU23" s="38">
        <v>0</v>
      </c>
      <c r="BV23" s="39">
        <v>2</v>
      </c>
      <c r="BW23" s="213">
        <v>45</v>
      </c>
      <c r="BX23" s="212" t="s">
        <v>15</v>
      </c>
      <c r="BY23" s="214" t="s">
        <v>15</v>
      </c>
      <c r="BZ23" s="37">
        <v>0</v>
      </c>
      <c r="CA23" s="37">
        <v>0</v>
      </c>
      <c r="CB23" s="37">
        <v>0</v>
      </c>
      <c r="CC23" s="37">
        <v>2</v>
      </c>
      <c r="CD23" s="37">
        <v>0</v>
      </c>
      <c r="CE23" s="37">
        <v>0</v>
      </c>
      <c r="CF23" s="37">
        <v>0</v>
      </c>
      <c r="CG23" s="37">
        <v>0</v>
      </c>
      <c r="CH23" s="61">
        <f>(10*BZ23)+(8*CA23)+(10*CB23)+(12*CC23)+(10*CD23)+(12*CE23)+(9*CF23)</f>
        <v>24</v>
      </c>
      <c r="CI23" s="207">
        <f t="shared" ref="CI23:CO24" si="21">SUM(C23,S23,AI23,AY23,BO23,BZ23)</f>
        <v>0</v>
      </c>
      <c r="CJ23" s="207">
        <f t="shared" si="21"/>
        <v>0</v>
      </c>
      <c r="CK23" s="207">
        <v>21</v>
      </c>
      <c r="CL23" s="207">
        <v>0</v>
      </c>
      <c r="CM23" s="207">
        <f t="shared" si="21"/>
        <v>0</v>
      </c>
      <c r="CN23" s="207">
        <f t="shared" si="21"/>
        <v>0</v>
      </c>
      <c r="CO23" s="207">
        <f t="shared" si="21"/>
        <v>0</v>
      </c>
      <c r="CP23" s="207">
        <v>9</v>
      </c>
      <c r="CQ23" s="50">
        <v>21</v>
      </c>
      <c r="CR23" s="51">
        <f>SUM(K23,AA23,AQ23,BG23,BW23,CH23)</f>
        <v>195</v>
      </c>
      <c r="CS23" s="52">
        <f>CR23-180</f>
        <v>15</v>
      </c>
    </row>
    <row r="24" spans="1:97" x14ac:dyDescent="0.25">
      <c r="A24" s="194" t="s">
        <v>34</v>
      </c>
      <c r="B24" s="43" t="s">
        <v>20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2</v>
      </c>
      <c r="K24" s="40">
        <f>(10*C24)+(8*D24)+(9*E24)+(12*F24)+(11*G24)+(12*H24)+(9*I24)</f>
        <v>0</v>
      </c>
      <c r="L24" s="55" t="s">
        <v>15</v>
      </c>
      <c r="M24" s="53" t="s">
        <v>15</v>
      </c>
      <c r="N24" s="53" t="s">
        <v>15</v>
      </c>
      <c r="O24" s="53" t="s">
        <v>15</v>
      </c>
      <c r="P24" s="53" t="s">
        <v>15</v>
      </c>
      <c r="Q24" s="43" t="s">
        <v>20</v>
      </c>
      <c r="R24" s="44" t="s">
        <v>20</v>
      </c>
      <c r="S24" s="36">
        <v>0</v>
      </c>
      <c r="T24" s="37">
        <v>0</v>
      </c>
      <c r="U24" s="37">
        <v>5</v>
      </c>
      <c r="V24" s="37">
        <v>0</v>
      </c>
      <c r="W24" s="37">
        <v>0</v>
      </c>
      <c r="X24" s="38">
        <v>0</v>
      </c>
      <c r="Y24" s="38">
        <v>0</v>
      </c>
      <c r="Z24" s="39">
        <v>2</v>
      </c>
      <c r="AA24" s="40">
        <f>(10*S24)+(8*T24)+(9*U24)+(12*V24)+(11*W24)+(12*X24)+(9*Y24)</f>
        <v>45</v>
      </c>
      <c r="AB24" s="41" t="s">
        <v>15</v>
      </c>
      <c r="AC24" s="42" t="s">
        <v>15</v>
      </c>
      <c r="AD24" s="42" t="s">
        <v>15</v>
      </c>
      <c r="AE24" s="56" t="s">
        <v>15</v>
      </c>
      <c r="AF24" s="56" t="s">
        <v>15</v>
      </c>
      <c r="AG24" s="43" t="s">
        <v>20</v>
      </c>
      <c r="AH24" s="44" t="s">
        <v>20</v>
      </c>
      <c r="AI24" s="36">
        <v>0</v>
      </c>
      <c r="AJ24" s="37">
        <v>0</v>
      </c>
      <c r="AK24" s="37">
        <v>5</v>
      </c>
      <c r="AL24" s="37">
        <v>0</v>
      </c>
      <c r="AM24" s="37">
        <v>0</v>
      </c>
      <c r="AN24" s="38">
        <v>0</v>
      </c>
      <c r="AO24" s="38">
        <v>0</v>
      </c>
      <c r="AP24" s="39">
        <v>2</v>
      </c>
      <c r="AQ24" s="40">
        <f>(10*AI24)+(8*AJ24)+(9*AK24)+(12*AL24)+(11*AM24)+(12*AN24)+(9*AO24)</f>
        <v>45</v>
      </c>
      <c r="AR24" s="41" t="s">
        <v>15</v>
      </c>
      <c r="AS24" s="42" t="s">
        <v>15</v>
      </c>
      <c r="AT24" s="42" t="s">
        <v>15</v>
      </c>
      <c r="AU24" s="42" t="s">
        <v>15</v>
      </c>
      <c r="AV24" s="57" t="s">
        <v>20</v>
      </c>
      <c r="AW24" s="43" t="s">
        <v>20</v>
      </c>
      <c r="AX24" s="60" t="s">
        <v>20</v>
      </c>
      <c r="AY24" s="36">
        <v>0</v>
      </c>
      <c r="AZ24" s="37">
        <v>0</v>
      </c>
      <c r="BA24" s="37">
        <v>4</v>
      </c>
      <c r="BB24" s="37">
        <v>0</v>
      </c>
      <c r="BC24" s="37">
        <v>0</v>
      </c>
      <c r="BD24" s="38">
        <v>0</v>
      </c>
      <c r="BE24" s="38">
        <v>0</v>
      </c>
      <c r="BF24" s="39">
        <v>2</v>
      </c>
      <c r="BG24" s="40">
        <f>(10*AY24)+(8*AZ24)+(9*BA24)+(12*BB24)+(11*BC24)+(12*BD24)+(9*BE24)</f>
        <v>36</v>
      </c>
      <c r="BH24" s="102" t="s">
        <v>15</v>
      </c>
      <c r="BI24" s="208" t="s">
        <v>15</v>
      </c>
      <c r="BJ24" s="70" t="s">
        <v>15</v>
      </c>
      <c r="BK24" s="70" t="s">
        <v>15</v>
      </c>
      <c r="BL24" s="70" t="s">
        <v>15</v>
      </c>
      <c r="BM24" s="205" t="s">
        <v>20</v>
      </c>
      <c r="BN24" s="110" t="s">
        <v>20</v>
      </c>
      <c r="BO24" s="36" t="s">
        <v>20</v>
      </c>
      <c r="BP24" s="37">
        <v>0</v>
      </c>
      <c r="BQ24" s="37">
        <v>5</v>
      </c>
      <c r="BR24" s="37">
        <v>0</v>
      </c>
      <c r="BS24" s="37">
        <v>0</v>
      </c>
      <c r="BT24" s="38">
        <v>0</v>
      </c>
      <c r="BU24" s="38">
        <v>0</v>
      </c>
      <c r="BV24" s="39">
        <v>2</v>
      </c>
      <c r="BW24" s="40">
        <v>45</v>
      </c>
      <c r="BX24" s="212" t="s">
        <v>15</v>
      </c>
      <c r="BY24" s="209" t="s">
        <v>15</v>
      </c>
      <c r="BZ24" s="37">
        <v>0</v>
      </c>
      <c r="CA24" s="37">
        <v>0</v>
      </c>
      <c r="CB24" s="37">
        <v>0</v>
      </c>
      <c r="CC24" s="37">
        <v>2</v>
      </c>
      <c r="CD24" s="37">
        <v>0</v>
      </c>
      <c r="CE24" s="37">
        <v>0</v>
      </c>
      <c r="CF24" s="37">
        <v>0</v>
      </c>
      <c r="CG24" s="37">
        <v>0</v>
      </c>
      <c r="CH24" s="40">
        <f>(10*BZ24)+(8*CA24)+(9*CB24)+(12*CC24)+(11*CD24)+(12*CE24)+(9*CF24)</f>
        <v>24</v>
      </c>
      <c r="CI24" s="207">
        <f t="shared" si="21"/>
        <v>0</v>
      </c>
      <c r="CJ24" s="207">
        <f t="shared" si="21"/>
        <v>0</v>
      </c>
      <c r="CK24" s="207">
        <v>21</v>
      </c>
      <c r="CL24" s="207">
        <v>0</v>
      </c>
      <c r="CM24" s="207">
        <f t="shared" si="21"/>
        <v>0</v>
      </c>
      <c r="CN24" s="207">
        <f t="shared" si="21"/>
        <v>0</v>
      </c>
      <c r="CO24" s="207">
        <f t="shared" si="21"/>
        <v>0</v>
      </c>
      <c r="CP24" s="207">
        <v>9</v>
      </c>
      <c r="CQ24" s="50">
        <f t="shared" ref="CQ24" si="22">SUM(CI24:CO24)</f>
        <v>21</v>
      </c>
      <c r="CR24" s="51">
        <f>SUM(K24,AA24,AQ24,BG24,BW24,CH24)</f>
        <v>195</v>
      </c>
      <c r="CS24" s="52">
        <f>CR24-180</f>
        <v>15</v>
      </c>
    </row>
    <row r="25" spans="1:97" x14ac:dyDescent="0.25">
      <c r="J25" s="87"/>
      <c r="K25" s="87"/>
      <c r="L25" s="85"/>
    </row>
    <row r="26" spans="1:97" x14ac:dyDescent="0.25">
      <c r="B26" s="87"/>
      <c r="C26" s="87"/>
      <c r="D26" s="87"/>
      <c r="E26" s="87"/>
      <c r="F26" s="87"/>
      <c r="G26" s="87"/>
      <c r="H26" s="87"/>
      <c r="I26" s="100"/>
      <c r="J26" s="85"/>
      <c r="K26" s="100"/>
      <c r="L26" s="85"/>
      <c r="M26" s="85"/>
      <c r="N26" s="85"/>
      <c r="O26" s="85"/>
      <c r="P26" s="85"/>
      <c r="Q26" s="85"/>
    </row>
    <row r="27" spans="1:97" x14ac:dyDescent="0.25">
      <c r="A27" s="91" t="s">
        <v>35</v>
      </c>
      <c r="B27" s="91"/>
      <c r="C27" s="91"/>
      <c r="D27" s="91" t="s">
        <v>18</v>
      </c>
      <c r="E27" s="91" t="s">
        <v>36</v>
      </c>
      <c r="F27" s="91"/>
      <c r="G27" s="91"/>
      <c r="H27" s="91"/>
      <c r="I27" s="91"/>
      <c r="J27" s="91"/>
    </row>
    <row r="28" spans="1:97" x14ac:dyDescent="0.25">
      <c r="A28" s="91" t="s">
        <v>37</v>
      </c>
      <c r="B28" s="91"/>
      <c r="C28" s="91"/>
      <c r="D28" s="91" t="s">
        <v>15</v>
      </c>
      <c r="E28" s="91" t="s">
        <v>50</v>
      </c>
      <c r="F28" s="91"/>
      <c r="G28" s="91"/>
      <c r="H28" s="91"/>
      <c r="I28" s="91"/>
      <c r="J28" s="91"/>
      <c r="S28" s="103"/>
    </row>
    <row r="29" spans="1:97" x14ac:dyDescent="0.25">
      <c r="A29" s="91" t="s">
        <v>52</v>
      </c>
      <c r="B29" s="91"/>
      <c r="C29" s="91"/>
      <c r="D29" s="91" t="s">
        <v>13</v>
      </c>
      <c r="E29" s="91" t="s">
        <v>38</v>
      </c>
      <c r="F29" s="91"/>
      <c r="G29" s="91"/>
      <c r="H29" s="91"/>
      <c r="I29" s="91"/>
      <c r="J29" s="91"/>
    </row>
    <row r="30" spans="1:97" x14ac:dyDescent="0.25">
      <c r="A30" s="91" t="s">
        <v>39</v>
      </c>
      <c r="B30" s="91"/>
      <c r="C30" s="91"/>
      <c r="D30" s="91" t="s">
        <v>16</v>
      </c>
      <c r="E30" s="91" t="s">
        <v>40</v>
      </c>
      <c r="F30" s="91"/>
      <c r="G30" s="91"/>
      <c r="H30" s="91"/>
      <c r="I30" s="91"/>
      <c r="J30" s="91"/>
      <c r="Y30" s="103"/>
      <c r="AK30" s="103"/>
    </row>
    <row r="31" spans="1:97" x14ac:dyDescent="0.25">
      <c r="A31" s="91"/>
      <c r="B31" s="91"/>
      <c r="C31" s="91"/>
      <c r="D31" s="91"/>
      <c r="E31" s="91"/>
      <c r="F31" s="91"/>
      <c r="G31" s="91"/>
      <c r="H31" s="92"/>
      <c r="I31" s="92"/>
      <c r="J31" s="91"/>
      <c r="Y31" s="103"/>
    </row>
    <row r="32" spans="1:97" x14ac:dyDescent="0.25">
      <c r="A32" s="91"/>
      <c r="B32" s="91"/>
      <c r="C32" s="91"/>
      <c r="D32" s="89"/>
      <c r="E32" s="89"/>
      <c r="F32" s="91"/>
      <c r="G32" s="91"/>
      <c r="H32" s="92"/>
      <c r="I32" s="92"/>
      <c r="J32" s="91"/>
      <c r="K32" s="91"/>
      <c r="L32" s="91"/>
      <c r="R32" s="89"/>
      <c r="S32" s="89"/>
    </row>
    <row r="33" spans="1:22" x14ac:dyDescent="0.25">
      <c r="A33" s="91" t="s">
        <v>53</v>
      </c>
      <c r="B33" s="92"/>
      <c r="C33" s="92"/>
      <c r="D33" s="92"/>
      <c r="E33" s="92" t="s">
        <v>20</v>
      </c>
      <c r="F33" s="91"/>
      <c r="G33" s="91"/>
      <c r="H33" s="92"/>
      <c r="I33" s="92"/>
      <c r="J33" s="91"/>
      <c r="K33" s="91"/>
      <c r="L33" s="91"/>
      <c r="R33" s="91"/>
      <c r="S33" s="91"/>
    </row>
    <row r="34" spans="1:22" x14ac:dyDescent="0.25">
      <c r="A34" s="91" t="s">
        <v>54</v>
      </c>
      <c r="B34" s="92"/>
      <c r="C34" s="92"/>
      <c r="D34" s="92"/>
      <c r="E34" s="92" t="s">
        <v>41</v>
      </c>
      <c r="F34" s="91"/>
      <c r="G34" s="91"/>
      <c r="K34" s="91"/>
      <c r="L34" s="91"/>
      <c r="R34" s="91"/>
      <c r="S34" s="91"/>
    </row>
    <row r="35" spans="1:22" x14ac:dyDescent="0.25">
      <c r="A35" s="91" t="s">
        <v>55</v>
      </c>
      <c r="B35" s="92"/>
      <c r="C35" s="92"/>
      <c r="D35" s="92"/>
      <c r="E35" s="92" t="s">
        <v>42</v>
      </c>
      <c r="F35" s="91"/>
      <c r="G35" s="91"/>
      <c r="K35" s="91"/>
      <c r="L35" s="91"/>
      <c r="R35" s="91"/>
      <c r="S35" s="91"/>
    </row>
    <row r="36" spans="1:22" x14ac:dyDescent="0.25">
      <c r="A36" s="91" t="s">
        <v>43</v>
      </c>
      <c r="B36" s="92"/>
      <c r="C36" s="92"/>
      <c r="D36" s="92"/>
      <c r="E36" s="92" t="s">
        <v>44</v>
      </c>
      <c r="F36" s="91"/>
      <c r="G36" s="91"/>
      <c r="R36" s="91"/>
      <c r="S36" s="91"/>
    </row>
    <row r="37" spans="1:22" x14ac:dyDescent="0.25">
      <c r="V37" s="103"/>
    </row>
    <row r="38" spans="1:22" x14ac:dyDescent="0.25">
      <c r="A38" s="91"/>
      <c r="B38" s="92"/>
      <c r="C38" s="92"/>
      <c r="D38" s="92"/>
      <c r="E38" s="92"/>
      <c r="F38" s="91"/>
      <c r="G38" s="91"/>
    </row>
  </sheetData>
  <mergeCells count="20">
    <mergeCell ref="BZ15:CG15"/>
    <mergeCell ref="C2:J2"/>
    <mergeCell ref="S2:Z2"/>
    <mergeCell ref="AI2:AP2"/>
    <mergeCell ref="AY2:BF2"/>
    <mergeCell ref="BO2:BV2"/>
    <mergeCell ref="BZ2:CG2"/>
    <mergeCell ref="C15:J15"/>
    <mergeCell ref="S15:Z15"/>
    <mergeCell ref="AI15:AP15"/>
    <mergeCell ref="AY15:BF15"/>
    <mergeCell ref="BO15:BV15"/>
    <mergeCell ref="CI15:CP15"/>
    <mergeCell ref="CQ15:CQ16"/>
    <mergeCell ref="CR15:CR16"/>
    <mergeCell ref="CS15:CS16"/>
    <mergeCell ref="CI2:CP2"/>
    <mergeCell ref="CQ2:CQ3"/>
    <mergeCell ref="CR2:CR3"/>
    <mergeCell ref="CS2:C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2026</vt:lpstr>
      <vt:lpstr>FEB</vt:lpstr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Amonorkie Amanatey</dc:creator>
  <cp:lastModifiedBy>Christopher Odei</cp:lastModifiedBy>
  <dcterms:created xsi:type="dcterms:W3CDTF">2025-12-09T10:55:17Z</dcterms:created>
  <dcterms:modified xsi:type="dcterms:W3CDTF">2026-03-10T14:20:53Z</dcterms:modified>
</cp:coreProperties>
</file>