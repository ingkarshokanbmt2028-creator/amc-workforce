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istopher.Odei\Documents\"/>
    </mc:Choice>
  </mc:AlternateContent>
  <xr:revisionPtr revIDLastSave="0" documentId="13_ncr:1_{D7CA54FA-F8B4-4634-A7F9-AEAC195DE991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FY2026 - 2027" sheetId="16" r:id="rId1"/>
  </sheets>
  <calcPr calcId="191029"/>
</workbook>
</file>

<file path=xl/calcChain.xml><?xml version="1.0" encoding="utf-8"?>
<calcChain xmlns="http://schemas.openxmlformats.org/spreadsheetml/2006/main">
  <c r="L144" i="16" l="1"/>
  <c r="E144" i="16"/>
  <c r="H144" i="16" s="1"/>
  <c r="N144" i="16" s="1"/>
  <c r="O148" i="16" l="1"/>
  <c r="L148" i="16"/>
  <c r="E148" i="16"/>
  <c r="Q145" i="16"/>
  <c r="L145" i="16"/>
  <c r="H145" i="16"/>
  <c r="Q143" i="16"/>
  <c r="L143" i="16"/>
  <c r="H143" i="16"/>
  <c r="L142" i="16"/>
  <c r="H142" i="16"/>
  <c r="Q141" i="16"/>
  <c r="L141" i="16"/>
  <c r="H141" i="16"/>
  <c r="Q140" i="16"/>
  <c r="L140" i="16"/>
  <c r="H140" i="16"/>
  <c r="Q139" i="16"/>
  <c r="L139" i="16"/>
  <c r="H139" i="16"/>
  <c r="Q138" i="16"/>
  <c r="L138" i="16"/>
  <c r="H138" i="16"/>
  <c r="Q137" i="16"/>
  <c r="L137" i="16"/>
  <c r="H137" i="16"/>
  <c r="Q136" i="16"/>
  <c r="L136" i="16"/>
  <c r="H136" i="16"/>
  <c r="Q135" i="16"/>
  <c r="L135" i="16"/>
  <c r="H135" i="16"/>
  <c r="Q134" i="16"/>
  <c r="L134" i="16"/>
  <c r="H134" i="16"/>
  <c r="Q133" i="16"/>
  <c r="L133" i="16"/>
  <c r="H133" i="16"/>
  <c r="Q132" i="16"/>
  <c r="L132" i="16"/>
  <c r="H132" i="16"/>
  <c r="Q131" i="16"/>
  <c r="L131" i="16"/>
  <c r="H131" i="16"/>
  <c r="Q130" i="16"/>
  <c r="L130" i="16"/>
  <c r="H130" i="16"/>
  <c r="Q129" i="16"/>
  <c r="L129" i="16"/>
  <c r="H129" i="16"/>
  <c r="Q128" i="16"/>
  <c r="L128" i="16"/>
  <c r="H128" i="16"/>
  <c r="Q127" i="16"/>
  <c r="L127" i="16"/>
  <c r="H127" i="16"/>
  <c r="Q126" i="16"/>
  <c r="L126" i="16"/>
  <c r="H126" i="16"/>
  <c r="Q125" i="16"/>
  <c r="L125" i="16"/>
  <c r="H125" i="16"/>
  <c r="Q124" i="16"/>
  <c r="L124" i="16"/>
  <c r="H124" i="16"/>
  <c r="Q123" i="16"/>
  <c r="L123" i="16"/>
  <c r="H123" i="16"/>
  <c r="Q122" i="16"/>
  <c r="L122" i="16"/>
  <c r="H122" i="16"/>
  <c r="Q121" i="16"/>
  <c r="L121" i="16"/>
  <c r="H121" i="16"/>
  <c r="Q120" i="16"/>
  <c r="L120" i="16"/>
  <c r="H120" i="16"/>
  <c r="Q119" i="16"/>
  <c r="L119" i="16"/>
  <c r="H119" i="16"/>
  <c r="Q118" i="16"/>
  <c r="L118" i="16"/>
  <c r="H118" i="16"/>
  <c r="Q117" i="16"/>
  <c r="L117" i="16"/>
  <c r="H117" i="16"/>
  <c r="L116" i="16"/>
  <c r="H116" i="16"/>
  <c r="J115" i="16"/>
  <c r="L115" i="16" s="1"/>
  <c r="H115" i="16"/>
  <c r="Q114" i="16"/>
  <c r="L114" i="16"/>
  <c r="H114" i="16"/>
  <c r="Q113" i="16"/>
  <c r="L113" i="16"/>
  <c r="H113" i="16"/>
  <c r="Q112" i="16"/>
  <c r="L112" i="16"/>
  <c r="H112" i="16"/>
  <c r="J111" i="16"/>
  <c r="L111" i="16" s="1"/>
  <c r="H111" i="16"/>
  <c r="Q110" i="16"/>
  <c r="L110" i="16"/>
  <c r="H110" i="16"/>
  <c r="Q109" i="16"/>
  <c r="L109" i="16"/>
  <c r="H109" i="16"/>
  <c r="Q108" i="16"/>
  <c r="L108" i="16"/>
  <c r="H108" i="16"/>
  <c r="Q107" i="16"/>
  <c r="L107" i="16"/>
  <c r="H107" i="16"/>
  <c r="Q106" i="16"/>
  <c r="L106" i="16"/>
  <c r="F106" i="16"/>
  <c r="H106" i="16" s="1"/>
  <c r="Q105" i="16"/>
  <c r="L105" i="16"/>
  <c r="H105" i="16"/>
  <c r="Q104" i="16"/>
  <c r="L104" i="16"/>
  <c r="H104" i="16"/>
  <c r="Q103" i="16"/>
  <c r="L103" i="16"/>
  <c r="H103" i="16"/>
  <c r="L102" i="16"/>
  <c r="H102" i="16"/>
  <c r="Q101" i="16"/>
  <c r="L101" i="16"/>
  <c r="H101" i="16"/>
  <c r="Q100" i="16"/>
  <c r="L100" i="16"/>
  <c r="H100" i="16"/>
  <c r="Q99" i="16"/>
  <c r="L99" i="16"/>
  <c r="H99" i="16"/>
  <c r="Q98" i="16"/>
  <c r="L98" i="16"/>
  <c r="H98" i="16"/>
  <c r="Q97" i="16"/>
  <c r="L97" i="16"/>
  <c r="H97" i="16"/>
  <c r="L96" i="16"/>
  <c r="H96" i="16"/>
  <c r="Q95" i="16"/>
  <c r="Q93" i="16"/>
  <c r="L93" i="16"/>
  <c r="F93" i="16"/>
  <c r="H93" i="16" s="1"/>
  <c r="Q92" i="16"/>
  <c r="L92" i="16"/>
  <c r="H92" i="16"/>
  <c r="Q91" i="16"/>
  <c r="L91" i="16"/>
  <c r="H91" i="16"/>
  <c r="Q90" i="16"/>
  <c r="L90" i="16"/>
  <c r="F90" i="16"/>
  <c r="H90" i="16" s="1"/>
  <c r="Q89" i="16"/>
  <c r="L89" i="16"/>
  <c r="H89" i="16"/>
  <c r="Q88" i="16"/>
  <c r="L88" i="16"/>
  <c r="H88" i="16"/>
  <c r="Q87" i="16"/>
  <c r="L87" i="16"/>
  <c r="H87" i="16"/>
  <c r="Q86" i="16"/>
  <c r="L86" i="16"/>
  <c r="H86" i="16"/>
  <c r="Q85" i="16"/>
  <c r="L85" i="16"/>
  <c r="H85" i="16"/>
  <c r="Q84" i="16"/>
  <c r="L84" i="16"/>
  <c r="H84" i="16"/>
  <c r="P83" i="16"/>
  <c r="Q83" i="16" s="1"/>
  <c r="L83" i="16"/>
  <c r="H83" i="16"/>
  <c r="Q82" i="16"/>
  <c r="L82" i="16"/>
  <c r="H82" i="16"/>
  <c r="Q81" i="16"/>
  <c r="L81" i="16"/>
  <c r="H81" i="16"/>
  <c r="Q80" i="16"/>
  <c r="L80" i="16"/>
  <c r="H80" i="16"/>
  <c r="Q79" i="16"/>
  <c r="L79" i="16"/>
  <c r="F79" i="16"/>
  <c r="H79" i="16" s="1"/>
  <c r="Q78" i="16"/>
  <c r="L78" i="16"/>
  <c r="H78" i="16"/>
  <c r="Q77" i="16"/>
  <c r="L77" i="16"/>
  <c r="F77" i="16"/>
  <c r="H77" i="16" s="1"/>
  <c r="Q76" i="16"/>
  <c r="L76" i="16"/>
  <c r="H76" i="16"/>
  <c r="Q75" i="16"/>
  <c r="L75" i="16"/>
  <c r="H75" i="16"/>
  <c r="Q74" i="16"/>
  <c r="L74" i="16"/>
  <c r="H74" i="16"/>
  <c r="Q73" i="16"/>
  <c r="L73" i="16"/>
  <c r="H73" i="16"/>
  <c r="Q72" i="16"/>
  <c r="L72" i="16"/>
  <c r="H72" i="16"/>
  <c r="Q71" i="16"/>
  <c r="L71" i="16"/>
  <c r="H71" i="16"/>
  <c r="Q70" i="16"/>
  <c r="L70" i="16"/>
  <c r="H70" i="16"/>
  <c r="Q69" i="16"/>
  <c r="L69" i="16"/>
  <c r="H69" i="16"/>
  <c r="Q68" i="16"/>
  <c r="L68" i="16"/>
  <c r="H68" i="16"/>
  <c r="Q67" i="16"/>
  <c r="L67" i="16"/>
  <c r="H67" i="16"/>
  <c r="Q66" i="16"/>
  <c r="L66" i="16"/>
  <c r="F66" i="16"/>
  <c r="H66" i="16" s="1"/>
  <c r="Q65" i="16"/>
  <c r="L65" i="16"/>
  <c r="F65" i="16"/>
  <c r="H65" i="16" s="1"/>
  <c r="Q64" i="16"/>
  <c r="L64" i="16"/>
  <c r="H64" i="16"/>
  <c r="Q63" i="16"/>
  <c r="L63" i="16"/>
  <c r="H63" i="16"/>
  <c r="Q62" i="16"/>
  <c r="L62" i="16"/>
  <c r="F62" i="16"/>
  <c r="H62" i="16" s="1"/>
  <c r="Q61" i="16"/>
  <c r="L61" i="16"/>
  <c r="F61" i="16"/>
  <c r="H61" i="16" s="1"/>
  <c r="Q60" i="16"/>
  <c r="L60" i="16"/>
  <c r="F60" i="16"/>
  <c r="H60" i="16" s="1"/>
  <c r="Q59" i="16"/>
  <c r="L59" i="16"/>
  <c r="H59" i="16"/>
  <c r="Q58" i="16"/>
  <c r="L58" i="16"/>
  <c r="H58" i="16"/>
  <c r="Q57" i="16"/>
  <c r="L57" i="16"/>
  <c r="F57" i="16"/>
  <c r="H57" i="16" s="1"/>
  <c r="Q56" i="16"/>
  <c r="L56" i="16"/>
  <c r="H56" i="16"/>
  <c r="Q55" i="16"/>
  <c r="L55" i="16"/>
  <c r="H55" i="16"/>
  <c r="Q54" i="16"/>
  <c r="L54" i="16"/>
  <c r="H54" i="16"/>
  <c r="Q53" i="16"/>
  <c r="L53" i="16"/>
  <c r="F53" i="16"/>
  <c r="H53" i="16" s="1"/>
  <c r="Q52" i="16"/>
  <c r="L52" i="16"/>
  <c r="H52" i="16"/>
  <c r="Q51" i="16"/>
  <c r="L51" i="16"/>
  <c r="H51" i="16"/>
  <c r="Q50" i="16"/>
  <c r="L50" i="16"/>
  <c r="H50" i="16"/>
  <c r="Q49" i="16"/>
  <c r="L49" i="16"/>
  <c r="H49" i="16"/>
  <c r="Q48" i="16"/>
  <c r="L48" i="16"/>
  <c r="H48" i="16"/>
  <c r="Q47" i="16"/>
  <c r="L47" i="16"/>
  <c r="H47" i="16"/>
  <c r="L46" i="16"/>
  <c r="H46" i="16"/>
  <c r="Q45" i="16"/>
  <c r="L45" i="16"/>
  <c r="H45" i="16"/>
  <c r="Q44" i="16"/>
  <c r="L44" i="16"/>
  <c r="H44" i="16"/>
  <c r="Q43" i="16"/>
  <c r="L43" i="16"/>
  <c r="H43" i="16"/>
  <c r="Q42" i="16"/>
  <c r="L42" i="16"/>
  <c r="H42" i="16"/>
  <c r="Q41" i="16"/>
  <c r="L41" i="16"/>
  <c r="F41" i="16"/>
  <c r="H41" i="16" s="1"/>
  <c r="Q40" i="16"/>
  <c r="L40" i="16"/>
  <c r="H40" i="16"/>
  <c r="Q39" i="16"/>
  <c r="L39" i="16"/>
  <c r="H39" i="16"/>
  <c r="Q38" i="16"/>
  <c r="L38" i="16"/>
  <c r="H38" i="16"/>
  <c r="Q37" i="16"/>
  <c r="L37" i="16"/>
  <c r="F37" i="16"/>
  <c r="H37" i="16" s="1"/>
  <c r="Q36" i="16"/>
  <c r="L36" i="16"/>
  <c r="H36" i="16"/>
  <c r="Q35" i="16"/>
  <c r="L35" i="16"/>
  <c r="F35" i="16"/>
  <c r="Q34" i="16"/>
  <c r="L34" i="16"/>
  <c r="H34" i="16"/>
  <c r="Q33" i="16"/>
  <c r="L33" i="16"/>
  <c r="F33" i="16"/>
  <c r="H33" i="16" s="1"/>
  <c r="Q32" i="16"/>
  <c r="L32" i="16"/>
  <c r="F32" i="16"/>
  <c r="H32" i="16" s="1"/>
  <c r="Q31" i="16"/>
  <c r="L31" i="16"/>
  <c r="H31" i="16"/>
  <c r="Q30" i="16"/>
  <c r="L30" i="16"/>
  <c r="H30" i="16"/>
  <c r="Q29" i="16"/>
  <c r="L29" i="16"/>
  <c r="H29" i="16"/>
  <c r="Q28" i="16"/>
  <c r="L28" i="16"/>
  <c r="H28" i="16"/>
  <c r="Q27" i="16"/>
  <c r="L27" i="16"/>
  <c r="H27" i="16"/>
  <c r="Q26" i="16"/>
  <c r="L26" i="16"/>
  <c r="H26" i="16"/>
  <c r="Q25" i="16"/>
  <c r="L25" i="16"/>
  <c r="F25" i="16"/>
  <c r="H25" i="16" s="1"/>
  <c r="Q24" i="16"/>
  <c r="L24" i="16"/>
  <c r="H24" i="16"/>
  <c r="Q23" i="16"/>
  <c r="L23" i="16"/>
  <c r="H23" i="16"/>
  <c r="Q22" i="16"/>
  <c r="L22" i="16"/>
  <c r="H22" i="16"/>
  <c r="Q21" i="16"/>
  <c r="L21" i="16"/>
  <c r="H21" i="16"/>
  <c r="Q20" i="16"/>
  <c r="L20" i="16"/>
  <c r="H20" i="16"/>
  <c r="L19" i="16"/>
  <c r="H19" i="16"/>
  <c r="Q18" i="16"/>
  <c r="L18" i="16"/>
  <c r="H18" i="16"/>
  <c r="Q17" i="16"/>
  <c r="L17" i="16"/>
  <c r="H17" i="16"/>
  <c r="Q16" i="16"/>
  <c r="L16" i="16"/>
  <c r="H16" i="16"/>
  <c r="Q15" i="16"/>
  <c r="L15" i="16"/>
  <c r="F15" i="16"/>
  <c r="Q14" i="16"/>
  <c r="L14" i="16"/>
  <c r="F14" i="16"/>
  <c r="H14" i="16" s="1"/>
  <c r="Q13" i="16"/>
  <c r="L13" i="16"/>
  <c r="H13" i="16"/>
  <c r="Q12" i="16"/>
  <c r="L12" i="16"/>
  <c r="H12" i="16"/>
  <c r="Q11" i="16"/>
  <c r="L11" i="16"/>
  <c r="H11" i="16"/>
  <c r="Q10" i="16"/>
  <c r="L10" i="16"/>
  <c r="H10" i="16"/>
  <c r="Q9" i="16"/>
  <c r="L9" i="16"/>
  <c r="H9" i="16"/>
  <c r="Q8" i="16"/>
  <c r="L8" i="16"/>
  <c r="F8" i="16"/>
  <c r="H8" i="16" s="1"/>
  <c r="L7" i="16"/>
  <c r="H7" i="16"/>
  <c r="Q6" i="16"/>
  <c r="L6" i="16"/>
  <c r="N6" i="16" s="1"/>
  <c r="Q5" i="16"/>
  <c r="L5" i="16"/>
  <c r="H5" i="16"/>
  <c r="Q4" i="16"/>
  <c r="L4" i="16"/>
  <c r="H4" i="16"/>
  <c r="Q3" i="16"/>
  <c r="L3" i="16"/>
  <c r="H3" i="16"/>
  <c r="Q2" i="16"/>
  <c r="L2" i="16"/>
  <c r="F2" i="16"/>
  <c r="N43" i="16" l="1"/>
  <c r="N66" i="16"/>
  <c r="N80" i="16"/>
  <c r="N10" i="16"/>
  <c r="N16" i="16"/>
  <c r="N82" i="16"/>
  <c r="N60" i="16"/>
  <c r="N64" i="16"/>
  <c r="N23" i="16"/>
  <c r="N24" i="16"/>
  <c r="N31" i="16"/>
  <c r="N36" i="16"/>
  <c r="N83" i="16"/>
  <c r="N42" i="16"/>
  <c r="N81" i="16"/>
  <c r="N9" i="16"/>
  <c r="N13" i="16"/>
  <c r="N131" i="16"/>
  <c r="N135" i="16"/>
  <c r="N139" i="16"/>
  <c r="N12" i="16"/>
  <c r="N18" i="16"/>
  <c r="N47" i="16"/>
  <c r="N51" i="16"/>
  <c r="N7" i="16"/>
  <c r="N11" i="16"/>
  <c r="N17" i="16"/>
  <c r="N26" i="16"/>
  <c r="N100" i="16"/>
  <c r="N108" i="16"/>
  <c r="N120" i="16"/>
  <c r="N124" i="16"/>
  <c r="N128" i="16"/>
  <c r="N143" i="16"/>
  <c r="H2" i="16"/>
  <c r="N2" i="16" s="1"/>
  <c r="N41" i="16"/>
  <c r="N53" i="16"/>
  <c r="N57" i="16"/>
  <c r="N70" i="16"/>
  <c r="N92" i="16"/>
  <c r="N145" i="16"/>
  <c r="N19" i="16"/>
  <c r="N21" i="16"/>
  <c r="N25" i="16"/>
  <c r="N32" i="16"/>
  <c r="N48" i="16"/>
  <c r="N52" i="16"/>
  <c r="N38" i="16"/>
  <c r="N85" i="16"/>
  <c r="N104" i="16"/>
  <c r="N133" i="16"/>
  <c r="N137" i="16"/>
  <c r="N141" i="16"/>
  <c r="N5" i="16"/>
  <c r="N34" i="16"/>
  <c r="N37" i="16"/>
  <c r="N40" i="16"/>
  <c r="N63" i="16"/>
  <c r="N69" i="16"/>
  <c r="N93" i="16"/>
  <c r="N8" i="16"/>
  <c r="N55" i="16"/>
  <c r="N71" i="16"/>
  <c r="N74" i="16"/>
  <c r="N78" i="16"/>
  <c r="N87" i="16"/>
  <c r="N98" i="16"/>
  <c r="N102" i="16"/>
  <c r="N106" i="16"/>
  <c r="N110" i="16"/>
  <c r="N113" i="16"/>
  <c r="N116" i="16"/>
  <c r="N118" i="16"/>
  <c r="N122" i="16"/>
  <c r="N126" i="16"/>
  <c r="N46" i="16"/>
  <c r="N50" i="16"/>
  <c r="N59" i="16"/>
  <c r="N73" i="16"/>
  <c r="N77" i="16"/>
  <c r="N86" i="16"/>
  <c r="N96" i="16"/>
  <c r="N99" i="16"/>
  <c r="N103" i="16"/>
  <c r="N107" i="16"/>
  <c r="N111" i="16"/>
  <c r="N114" i="16"/>
  <c r="N119" i="16"/>
  <c r="N123" i="16"/>
  <c r="N127" i="16"/>
  <c r="N132" i="16"/>
  <c r="N136" i="16"/>
  <c r="N140" i="16"/>
  <c r="N90" i="16"/>
  <c r="N27" i="16"/>
  <c r="N30" i="16"/>
  <c r="N33" i="16"/>
  <c r="H35" i="16"/>
  <c r="N35" i="16" s="1"/>
  <c r="N45" i="16"/>
  <c r="N49" i="16"/>
  <c r="N62" i="16"/>
  <c r="N72" i="16"/>
  <c r="N76" i="16"/>
  <c r="N89" i="16"/>
  <c r="N22" i="16"/>
  <c r="N29" i="16"/>
  <c r="N44" i="16"/>
  <c r="N56" i="16"/>
  <c r="N58" i="16"/>
  <c r="N65" i="16"/>
  <c r="N67" i="16"/>
  <c r="N75" i="16"/>
  <c r="N79" i="16"/>
  <c r="N84" i="16"/>
  <c r="N88" i="16"/>
  <c r="N91" i="16"/>
  <c r="N97" i="16"/>
  <c r="N101" i="16"/>
  <c r="N105" i="16"/>
  <c r="N109" i="16"/>
  <c r="N112" i="16"/>
  <c r="N117" i="16"/>
  <c r="N121" i="16"/>
  <c r="N125" i="16"/>
  <c r="N129" i="16"/>
  <c r="N130" i="16"/>
  <c r="N134" i="16"/>
  <c r="N138" i="16"/>
  <c r="N142" i="16"/>
  <c r="Q148" i="16"/>
  <c r="N4" i="16"/>
  <c r="N39" i="16"/>
  <c r="N54" i="16"/>
  <c r="F148" i="16"/>
  <c r="H148" i="16" s="1"/>
  <c r="N3" i="16"/>
  <c r="H15" i="16"/>
  <c r="N15" i="16" s="1"/>
  <c r="N28" i="16"/>
  <c r="N14" i="16"/>
  <c r="N115" i="16"/>
  <c r="N68" i="16"/>
  <c r="N20" i="16"/>
  <c r="N61" i="16"/>
</calcChain>
</file>

<file path=xl/sharedStrings.xml><?xml version="1.0" encoding="utf-8"?>
<sst xmlns="http://schemas.openxmlformats.org/spreadsheetml/2006/main" count="469" uniqueCount="360">
  <si>
    <t>Abu Sarpong</t>
  </si>
  <si>
    <t xml:space="preserve">Mariette </t>
  </si>
  <si>
    <t>Abubakar</t>
  </si>
  <si>
    <t xml:space="preserve">Mustapha </t>
  </si>
  <si>
    <t>Ackon</t>
  </si>
  <si>
    <t>Rhoda</t>
  </si>
  <si>
    <t>Adade</t>
  </si>
  <si>
    <t>Leticia Kaki</t>
  </si>
  <si>
    <t xml:space="preserve">Agbegoe </t>
  </si>
  <si>
    <t>Gertrude Exornam</t>
  </si>
  <si>
    <t>Agbemenu</t>
  </si>
  <si>
    <t>Rita</t>
  </si>
  <si>
    <t>Agbewu</t>
  </si>
  <si>
    <t xml:space="preserve">Godwin </t>
  </si>
  <si>
    <t>2 wkg days (28 - 29 April 
2025)</t>
  </si>
  <si>
    <t>Aggor</t>
  </si>
  <si>
    <t>Edem Moses</t>
  </si>
  <si>
    <t xml:space="preserve">Agyapong </t>
  </si>
  <si>
    <t xml:space="preserve">Hilda Ofosua </t>
  </si>
  <si>
    <t>Ahmed</t>
  </si>
  <si>
    <t>Mohammed</t>
  </si>
  <si>
    <t>Aidoo</t>
  </si>
  <si>
    <t>Joseph Bondzie</t>
  </si>
  <si>
    <t>Akorli</t>
  </si>
  <si>
    <t>Raphael Agbesi</t>
  </si>
  <si>
    <t>Akuetteh</t>
  </si>
  <si>
    <t>Benjamin Konney</t>
  </si>
  <si>
    <t>Allotey-Babington</t>
  </si>
  <si>
    <t>Obed</t>
  </si>
  <si>
    <t>Amenuku</t>
  </si>
  <si>
    <t>Gloria</t>
  </si>
  <si>
    <t>Amexo</t>
  </si>
  <si>
    <t xml:space="preserve">Valerie </t>
  </si>
  <si>
    <t>Amponsah</t>
  </si>
  <si>
    <t xml:space="preserve">Collins </t>
  </si>
  <si>
    <t>Anane</t>
  </si>
  <si>
    <t>Calvin Noble</t>
  </si>
  <si>
    <t>Ankomah</t>
  </si>
  <si>
    <t xml:space="preserve">Michael </t>
  </si>
  <si>
    <t>Annan</t>
  </si>
  <si>
    <t>Asamoah-Frempong</t>
  </si>
  <si>
    <t xml:space="preserve">Akua  </t>
  </si>
  <si>
    <t>Asamoah</t>
  </si>
  <si>
    <t>Lydia Pokuah</t>
  </si>
  <si>
    <t xml:space="preserve">Asare </t>
  </si>
  <si>
    <t>Dorothy</t>
  </si>
  <si>
    <t>Asare-Boateng</t>
  </si>
  <si>
    <t>Stephane</t>
  </si>
  <si>
    <t>Attoh</t>
  </si>
  <si>
    <t>Nathaniel Russel</t>
  </si>
  <si>
    <t>Attor</t>
  </si>
  <si>
    <t xml:space="preserve">Gifty Sefakor </t>
  </si>
  <si>
    <t>Avereyireh</t>
  </si>
  <si>
    <t xml:space="preserve">Josef Wewoli </t>
  </si>
  <si>
    <t>Ayegbe</t>
  </si>
  <si>
    <t>Vida</t>
  </si>
  <si>
    <t xml:space="preserve">Ayitey </t>
  </si>
  <si>
    <t xml:space="preserve">Ivy Nyamekye </t>
  </si>
  <si>
    <t>Ayim</t>
  </si>
  <si>
    <t>Margaret</t>
  </si>
  <si>
    <t>Azaglo-Tay</t>
  </si>
  <si>
    <t>Anita Lebene</t>
  </si>
  <si>
    <t>Banaaleh</t>
  </si>
  <si>
    <t>Anita</t>
  </si>
  <si>
    <t xml:space="preserve">Bissue </t>
  </si>
  <si>
    <t>Francis</t>
  </si>
  <si>
    <t>Boachie Junior</t>
  </si>
  <si>
    <t xml:space="preserve">Ernest </t>
  </si>
  <si>
    <t>Boakye</t>
  </si>
  <si>
    <t xml:space="preserve">Andrews Boampong </t>
  </si>
  <si>
    <t>Rita Pokua</t>
  </si>
  <si>
    <t>Boakye Yiadom</t>
  </si>
  <si>
    <t>Simeon</t>
  </si>
  <si>
    <t>Benedict Nyankson</t>
  </si>
  <si>
    <t>Brew-Cofie</t>
  </si>
  <si>
    <t>Christiana</t>
  </si>
  <si>
    <t>Brew-Yalley</t>
  </si>
  <si>
    <t>Janet</t>
  </si>
  <si>
    <t>Clocuh</t>
  </si>
  <si>
    <t>Moses</t>
  </si>
  <si>
    <t xml:space="preserve">Dampson </t>
  </si>
  <si>
    <t>Patrick</t>
  </si>
  <si>
    <t>Darbah</t>
  </si>
  <si>
    <t>Timothy</t>
  </si>
  <si>
    <t>Dodo</t>
  </si>
  <si>
    <t>Jahel</t>
  </si>
  <si>
    <t>Ekeworm</t>
  </si>
  <si>
    <t>Ellen</t>
  </si>
  <si>
    <t>Essel</t>
  </si>
  <si>
    <t>Joseph Fosu</t>
  </si>
  <si>
    <t xml:space="preserve">Ewordafe </t>
  </si>
  <si>
    <t xml:space="preserve">Stanley </t>
  </si>
  <si>
    <t xml:space="preserve">Gadagoe </t>
  </si>
  <si>
    <t>Roseline Akpene</t>
  </si>
  <si>
    <t>Galley</t>
  </si>
  <si>
    <t xml:space="preserve">Kwame Delasi </t>
  </si>
  <si>
    <t>Gyekye-Quansah</t>
  </si>
  <si>
    <t>Anna</t>
  </si>
  <si>
    <t>Issah</t>
  </si>
  <si>
    <t>Salford</t>
  </si>
  <si>
    <t xml:space="preserve">Ketor </t>
  </si>
  <si>
    <t xml:space="preserve">Ebenezer </t>
  </si>
  <si>
    <t>Kouassi</t>
  </si>
  <si>
    <t>Honore Tassi Folly</t>
  </si>
  <si>
    <t>Kpodo-Tay</t>
  </si>
  <si>
    <t>Dzidzor Abla</t>
  </si>
  <si>
    <t>Lovi</t>
  </si>
  <si>
    <t xml:space="preserve">Nyanyuie Kodjo </t>
  </si>
  <si>
    <t>Maccarthy</t>
  </si>
  <si>
    <t xml:space="preserve">Rebecca Ohui </t>
  </si>
  <si>
    <t>Mortey</t>
  </si>
  <si>
    <t>Bridget Abra</t>
  </si>
  <si>
    <t>Musah</t>
  </si>
  <si>
    <t>Ramatu</t>
  </si>
  <si>
    <t>Nutakor</t>
  </si>
  <si>
    <t xml:space="preserve">Thelma Akushika </t>
  </si>
  <si>
    <t>Nuworkpor</t>
  </si>
  <si>
    <t xml:space="preserve">Olivia Atsupui </t>
  </si>
  <si>
    <t>Nyadroh</t>
  </si>
  <si>
    <t xml:space="preserve">Elizabeth Sena </t>
  </si>
  <si>
    <t>Odei</t>
  </si>
  <si>
    <t xml:space="preserve">Christopher </t>
  </si>
  <si>
    <t>Odonkor</t>
  </si>
  <si>
    <t xml:space="preserve">Nuella </t>
  </si>
  <si>
    <t>Oduro</t>
  </si>
  <si>
    <t>Josephine</t>
  </si>
  <si>
    <t>Ohene</t>
  </si>
  <si>
    <t xml:space="preserve">Linda Aboagyewaa </t>
  </si>
  <si>
    <t>Opoku-Akoto</t>
  </si>
  <si>
    <t>Cynthia</t>
  </si>
  <si>
    <t>Oppong</t>
  </si>
  <si>
    <t>Mercy</t>
  </si>
  <si>
    <t xml:space="preserve">Theresa </t>
  </si>
  <si>
    <t>Otchere</t>
  </si>
  <si>
    <t>Sandra</t>
  </si>
  <si>
    <t>Parker</t>
  </si>
  <si>
    <t>Jeffrey</t>
  </si>
  <si>
    <t>Pokua Asamoah</t>
  </si>
  <si>
    <t>Lydia</t>
  </si>
  <si>
    <t xml:space="preserve">Ponjin </t>
  </si>
  <si>
    <t>Joseph Mabitaab</t>
  </si>
  <si>
    <t>Quartey</t>
  </si>
  <si>
    <t>Deborah Rehoboth</t>
  </si>
  <si>
    <t>Raji</t>
  </si>
  <si>
    <t>Sinare</t>
  </si>
  <si>
    <t>Sackey</t>
  </si>
  <si>
    <t>Priscilla</t>
  </si>
  <si>
    <t>Sharon</t>
  </si>
  <si>
    <t>Soley</t>
  </si>
  <si>
    <t>Josephine Afia</t>
  </si>
  <si>
    <t xml:space="preserve">Sulley </t>
  </si>
  <si>
    <t>Farida Sanni</t>
  </si>
  <si>
    <t>Tampah-Naah</t>
  </si>
  <si>
    <t>Emmanuel</t>
  </si>
  <si>
    <t>Tei</t>
  </si>
  <si>
    <t>David</t>
  </si>
  <si>
    <t>Tetteh</t>
  </si>
  <si>
    <t xml:space="preserve">Isaac </t>
  </si>
  <si>
    <t xml:space="preserve">Tetteh </t>
  </si>
  <si>
    <t xml:space="preserve">Emmanuel Sika </t>
  </si>
  <si>
    <t xml:space="preserve">Tiah </t>
  </si>
  <si>
    <t xml:space="preserve">Phoebe Eyram </t>
  </si>
  <si>
    <t>Togoh</t>
  </si>
  <si>
    <t>Eunice Akorfa</t>
  </si>
  <si>
    <t>Tornyeava</t>
  </si>
  <si>
    <t xml:space="preserve">Godwin Kwame </t>
  </si>
  <si>
    <t>Tuffour Hinson</t>
  </si>
  <si>
    <t>Tutu</t>
  </si>
  <si>
    <t>Theresa Dede</t>
  </si>
  <si>
    <t>Yeboah</t>
  </si>
  <si>
    <t>Josephine Awukubea</t>
  </si>
  <si>
    <t>Mabel Ampofoa</t>
  </si>
  <si>
    <t>Zurek</t>
  </si>
  <si>
    <t>Joyce</t>
  </si>
  <si>
    <t>PROBATION</t>
  </si>
  <si>
    <t>Adotey-Nyanu</t>
  </si>
  <si>
    <t>Abigail Aku</t>
  </si>
  <si>
    <t>Amanatey</t>
  </si>
  <si>
    <t>Sarah Amonorkie</t>
  </si>
  <si>
    <t xml:space="preserve">Appiah </t>
  </si>
  <si>
    <t>Doris Ewusi</t>
  </si>
  <si>
    <t>Armah</t>
  </si>
  <si>
    <t>Richard Oblie</t>
  </si>
  <si>
    <t>D'almeida</t>
  </si>
  <si>
    <t>Daniel</t>
  </si>
  <si>
    <t>Gyamfi</t>
  </si>
  <si>
    <t>Emmanuel Powers</t>
  </si>
  <si>
    <t>Horsey</t>
  </si>
  <si>
    <t>Dennis</t>
  </si>
  <si>
    <t xml:space="preserve">Nterful </t>
  </si>
  <si>
    <t>Emmanuel Louis Jnr</t>
  </si>
  <si>
    <t xml:space="preserve">Ntoni </t>
  </si>
  <si>
    <t>Nana Akua</t>
  </si>
  <si>
    <t>Obiri-Asamoah</t>
  </si>
  <si>
    <t xml:space="preserve">Ishaque </t>
  </si>
  <si>
    <t>Opare</t>
  </si>
  <si>
    <t>Elikplim Noble</t>
  </si>
  <si>
    <t>Osaah</t>
  </si>
  <si>
    <t>Mary</t>
  </si>
  <si>
    <t xml:space="preserve">Oteng </t>
  </si>
  <si>
    <t>Ama Serwah</t>
  </si>
  <si>
    <t xml:space="preserve">Sackey </t>
  </si>
  <si>
    <t xml:space="preserve">Shefali </t>
  </si>
  <si>
    <t>Bhaduaria</t>
  </si>
  <si>
    <t>Gloria Louisa</t>
  </si>
  <si>
    <t>Bismark</t>
  </si>
  <si>
    <t>Appiah</t>
  </si>
  <si>
    <t>Grace</t>
  </si>
  <si>
    <t>Koomson</t>
  </si>
  <si>
    <t>Vivian</t>
  </si>
  <si>
    <t xml:space="preserve">3 wkg days (2 - 4 June 2025)
</t>
  </si>
  <si>
    <t>1 wkg days (9 May 2025)</t>
  </si>
  <si>
    <t>1 wkg day (28 May 2025)</t>
  </si>
  <si>
    <t>Acquah</t>
  </si>
  <si>
    <t>Hildagard</t>
  </si>
  <si>
    <t>Boakye-Yiadom</t>
  </si>
  <si>
    <t>Emmanuella</t>
  </si>
  <si>
    <t>Assuah</t>
  </si>
  <si>
    <t>Acquah-Baidoo</t>
  </si>
  <si>
    <t>Lucky</t>
  </si>
  <si>
    <t>Sedofia</t>
  </si>
  <si>
    <t>Perfect</t>
  </si>
  <si>
    <t>Atukumah</t>
  </si>
  <si>
    <t>John</t>
  </si>
  <si>
    <t>Agbodzah</t>
  </si>
  <si>
    <t xml:space="preserve">Jemimah Afi </t>
  </si>
  <si>
    <t xml:space="preserve">Mensah </t>
  </si>
  <si>
    <t>Cassandra</t>
  </si>
  <si>
    <t>Deborah Akorkor</t>
  </si>
  <si>
    <t xml:space="preserve">Osei </t>
  </si>
  <si>
    <t xml:space="preserve">Dery </t>
  </si>
  <si>
    <t>Yevu</t>
  </si>
  <si>
    <t>Angela</t>
  </si>
  <si>
    <t>Akakpo</t>
  </si>
  <si>
    <t>Cecilia Dede</t>
  </si>
  <si>
    <t>Annipah</t>
  </si>
  <si>
    <t>Godson</t>
  </si>
  <si>
    <t xml:space="preserve">Nayo </t>
  </si>
  <si>
    <t>Florence</t>
  </si>
  <si>
    <t>Nankani</t>
  </si>
  <si>
    <t>Evelyn</t>
  </si>
  <si>
    <t>Renner</t>
  </si>
  <si>
    <t xml:space="preserve">Asante </t>
  </si>
  <si>
    <t>Andrews Appiah</t>
  </si>
  <si>
    <t>Bhadauria</t>
  </si>
  <si>
    <t>Shefali</t>
  </si>
  <si>
    <t>1 wkg day (16 June 2025)</t>
  </si>
  <si>
    <t>2 wkg days (18 - 19 June 2025)</t>
  </si>
  <si>
    <t>Mavis</t>
  </si>
  <si>
    <t>3 wkg days (7 - 9 July 2025)</t>
  </si>
  <si>
    <t>1 wkg days (19 July 2025)</t>
  </si>
  <si>
    <t>1 wkg day (11 April 2025)
1 wkg day (22 July 2025)</t>
  </si>
  <si>
    <t>3 wkg days (6 - 8 July 2025)</t>
  </si>
  <si>
    <t xml:space="preserve">3 wkg days (3 - 5 August 2025)
</t>
  </si>
  <si>
    <t xml:space="preserve">3 wkg days (28 - 30 July 
2025)
</t>
  </si>
  <si>
    <t>Boamah</t>
  </si>
  <si>
    <t>3 wkg days (26 - 28 May 2025)
2 wkg days (10 - 11 September 2025)</t>
  </si>
  <si>
    <t>Loreen Sophia</t>
  </si>
  <si>
    <t>1 wkg day (9 October 2025)</t>
  </si>
  <si>
    <t xml:space="preserve">3 wkg days (3 - 5 June 2025)
4 wkg weeks (6 June - 29 June 2025) 
12 wkg weeks (30th June - 21 September 2025)
4 wkg weeks (22 
September - 19 October 
2025)
8 weeks (19 November 2025 - 11 January 2026)
</t>
  </si>
  <si>
    <t>Albert</t>
  </si>
  <si>
    <t>1 wkg day (31 January 2026)</t>
  </si>
  <si>
    <t>1 wkg day (5 February 2026)</t>
  </si>
  <si>
    <t>3 wkg days (3 - 5 February 
2026)</t>
  </si>
  <si>
    <t xml:space="preserve">Mortey </t>
  </si>
  <si>
    <t>Richard</t>
  </si>
  <si>
    <t>7 wkg days (8 - 15 January 2026)
6 wkg days (16 - 22 January 2026)</t>
  </si>
  <si>
    <t>Addoh</t>
  </si>
  <si>
    <t>Mercy Ami</t>
  </si>
  <si>
    <t>2 wkg day (22 - 23 December 2025)</t>
  </si>
  <si>
    <t>1 wkg day (4 February 2026)</t>
  </si>
  <si>
    <t xml:space="preserve">Cookey </t>
  </si>
  <si>
    <t>Tamunoibim Sopringe</t>
  </si>
  <si>
    <t>Yakubu</t>
  </si>
  <si>
    <t>Nazeefa</t>
  </si>
  <si>
    <t>Tamakloe</t>
  </si>
  <si>
    <t>Eugene Dodzi</t>
  </si>
  <si>
    <t>2 wkg days (16 - 17 February 2026)</t>
  </si>
  <si>
    <t>1 wkg day (15 June 2025)
1 wkg day (15 February 2026)</t>
  </si>
  <si>
    <t>Samuel Osei</t>
  </si>
  <si>
    <t>Woliso</t>
  </si>
  <si>
    <t>Eva</t>
  </si>
  <si>
    <t>2 wkg days (12 - 13 February 
2026)</t>
  </si>
  <si>
    <t>5 wkg days (12 - 16 September 2025)
7 wkg days (7 - 14 November 
2025)</t>
  </si>
  <si>
    <t>Avoryi</t>
  </si>
  <si>
    <t xml:space="preserve">Antoinette </t>
  </si>
  <si>
    <t>Agyarko</t>
  </si>
  <si>
    <t>Raphaela</t>
  </si>
  <si>
    <t>Botchway</t>
  </si>
  <si>
    <t>Irene Nartekie</t>
  </si>
  <si>
    <t xml:space="preserve">3 wkg days (28 - 30 July 2025)
3 wkg days (10 - 12 September 2025)
2 wkg days (6 - 7 November 2025)
</t>
  </si>
  <si>
    <t>Opokua-Mireku</t>
  </si>
  <si>
    <t>Enock</t>
  </si>
  <si>
    <t>Pharmacist</t>
  </si>
  <si>
    <t>Senior Nursing Officer</t>
  </si>
  <si>
    <t>Midwifery Officer</t>
  </si>
  <si>
    <t>Health Assistant Clinical</t>
  </si>
  <si>
    <t>Billing &amp; Claims Officer</t>
  </si>
  <si>
    <t>Deputy Nursing Director</t>
  </si>
  <si>
    <t>Principal Certified Anaesthetist</t>
  </si>
  <si>
    <t>Radiographer</t>
  </si>
  <si>
    <t>Senior Health Assistant</t>
  </si>
  <si>
    <t>Security Officer</t>
  </si>
  <si>
    <t>Medical Laboratory Scientist</t>
  </si>
  <si>
    <t>Laboratory Manager</t>
  </si>
  <si>
    <t>Medical Director</t>
  </si>
  <si>
    <t>Senior Procurement Officer</t>
  </si>
  <si>
    <t>Client Service Officer</t>
  </si>
  <si>
    <t>Senioe Laboratory Scientist</t>
  </si>
  <si>
    <t>Billing &amp; Claims Coordinator</t>
  </si>
  <si>
    <t>Cook</t>
  </si>
  <si>
    <t>Nursing Officer</t>
  </si>
  <si>
    <t>Staff Midwife</t>
  </si>
  <si>
    <t>Senior Pharmacy Technician</t>
  </si>
  <si>
    <t>Medical Officer</t>
  </si>
  <si>
    <t>Senior Medical Officer</t>
  </si>
  <si>
    <t>Nursing Director</t>
  </si>
  <si>
    <t>Principal Nursing Officer</t>
  </si>
  <si>
    <t>Stores Assistant</t>
  </si>
  <si>
    <t>Chief Operating Officer</t>
  </si>
  <si>
    <t>Senior systems and IT Officer</t>
  </si>
  <si>
    <t>Senior Business Development Officer</t>
  </si>
  <si>
    <t>Senior Medical Laboratory Scientist</t>
  </si>
  <si>
    <t>EMT</t>
  </si>
  <si>
    <t>Maintenance Officer</t>
  </si>
  <si>
    <t>Physician Specilaist - Hospitalist</t>
  </si>
  <si>
    <t>Accounts Assistant</t>
  </si>
  <si>
    <t>Senior HR Officer</t>
  </si>
  <si>
    <t>Chief Executive Officer</t>
  </si>
  <si>
    <t>Accounts Officer</t>
  </si>
  <si>
    <t>Accounting Manager</t>
  </si>
  <si>
    <t>Senior Certified Anaesthetist</t>
  </si>
  <si>
    <t>Staff Nurse</t>
  </si>
  <si>
    <t>Client Service Executive</t>
  </si>
  <si>
    <t>Quality Assurance Lead</t>
  </si>
  <si>
    <t>Dietician</t>
  </si>
  <si>
    <t>Office Assistant - Transport &amp; Logistics</t>
  </si>
  <si>
    <t>Senior Staff Nurse</t>
  </si>
  <si>
    <t>Excellence &amp; Compliance 
Manager</t>
  </si>
  <si>
    <t>PNO - SPECIALIST &amp; SURGICAL SERV CLINICAL COORDINATOR</t>
  </si>
  <si>
    <t>FACILITIES MANAGEMENT ASSISTANT - BIOMEDICAL</t>
  </si>
  <si>
    <t>Diet Cook</t>
  </si>
  <si>
    <t>Senior Business Development &amp; Sales Offcier</t>
  </si>
  <si>
    <t>Senior Nursing Officer - CCRN</t>
  </si>
  <si>
    <t>BIOMEDICAL ENGINEER SENIOR FIELD OFFICER</t>
  </si>
  <si>
    <t>Senior Radiographer</t>
  </si>
  <si>
    <t>Public Health Assistant</t>
  </si>
  <si>
    <t>Principal Nursing Officer - CCRN</t>
  </si>
  <si>
    <t>NAME</t>
  </si>
  <si>
    <t>DESIGNATION</t>
  </si>
  <si>
    <t>CURRENT YEAR ANNUAL 
LEAVE ENTITLEMENT</t>
  </si>
  <si>
    <t>ACCUMULATED HOLIDAYS LEAVE 
DAYS (Carried Forward)</t>
  </si>
  <si>
    <t>TOTAL ANNUAL 
LEAVE TAKEN</t>
  </si>
  <si>
    <t>ACCUMULATED LEAVE 
DAYS (Carried Forward)</t>
  </si>
  <si>
    <t>TOTAL ANNUAL 
LEAVE</t>
  </si>
  <si>
    <t>TOTAL HOLIDAYS 
LEAVE</t>
  </si>
  <si>
    <t>TOTAL LEAVE 
DAYS (ANNUAL
/HOLIDAYS)</t>
  </si>
  <si>
    <t>TOTAL SICK
LEAVE TAKEN</t>
  </si>
  <si>
    <t xml:space="preserve">TOTAL SICK
LEAVE </t>
  </si>
  <si>
    <t>SICK LEAVE 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</si>
</sst>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u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43" fontId="1" fillId="0" borderId="1" xfId="1" applyFont="1" applyFill="1" applyBorder="1" applyAlignment="1">
      <alignment horizontal="left" vertical="top"/>
    </xf>
    <xf numFmtId="0" fontId="1" fillId="0" borderId="1" xfId="0" applyFont="1" applyBorder="1"/>
    <xf numFmtId="43" fontId="1" fillId="0" borderId="1" xfId="1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wrapText="1"/>
    </xf>
    <xf numFmtId="2" fontId="2" fillId="0" borderId="1" xfId="0" applyNumberFormat="1" applyFont="1" applyBorder="1" applyAlignment="1">
      <alignment vertical="top" wrapText="1"/>
    </xf>
    <xf numFmtId="46" fontId="2" fillId="0" borderId="1" xfId="0" applyNumberFormat="1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0" xfId="0" applyAlignment="1"/>
    <xf numFmtId="0" fontId="1" fillId="6" borderId="1" xfId="0" applyFont="1" applyFill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2" fontId="1" fillId="5" borderId="1" xfId="0" applyNumberFormat="1" applyFont="1" applyFill="1" applyBorder="1" applyAlignment="1">
      <alignment vertical="top" wrapText="1"/>
    </xf>
    <xf numFmtId="2" fontId="1" fillId="3" borderId="1" xfId="0" applyNumberFormat="1" applyFont="1" applyFill="1" applyBorder="1" applyAlignment="1">
      <alignment vertical="top" wrapText="1"/>
    </xf>
    <xf numFmtId="2" fontId="1" fillId="3" borderId="1" xfId="0" applyNumberFormat="1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1" xfId="0" applyBorder="1"/>
    <xf numFmtId="0" fontId="5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wrapText="1"/>
    </xf>
    <xf numFmtId="2" fontId="4" fillId="3" borderId="1" xfId="0" applyNumberFormat="1" applyFont="1" applyFill="1" applyBorder="1" applyAlignment="1">
      <alignment vertical="top" wrapText="1"/>
    </xf>
    <xf numFmtId="2" fontId="1" fillId="2" borderId="1" xfId="0" applyNumberFormat="1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wrapText="1"/>
    </xf>
    <xf numFmtId="2" fontId="1" fillId="2" borderId="1" xfId="0" applyNumberFormat="1" applyFont="1" applyFill="1" applyBorder="1" applyAlignment="1">
      <alignment wrapText="1"/>
    </xf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2" fillId="0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2" borderId="0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1B0C-F28E-465D-A7BE-5C6DA1C8E379}">
  <dimension ref="A1:R149"/>
  <sheetViews>
    <sheetView tabSelected="1" workbookViewId="0">
      <selection activeCell="S4" sqref="S1:S1048576"/>
    </sheetView>
  </sheetViews>
  <sheetFormatPr defaultRowHeight="15"/>
  <cols>
    <col min="1" max="1" width="4" bestFit="1" customWidth="1"/>
    <col min="2" max="2" width="19.5703125" bestFit="1" customWidth="1"/>
    <col min="3" max="3" width="13.7109375" bestFit="1" customWidth="1"/>
    <col min="4" max="4" width="23.5703125" customWidth="1"/>
    <col min="5" max="5" width="17.7109375" bestFit="1" customWidth="1"/>
    <col min="6" max="6" width="18.7109375" bestFit="1" customWidth="1"/>
    <col min="7" max="7" width="11.85546875" bestFit="1" customWidth="1"/>
    <col min="8" max="8" width="11.5703125" bestFit="1" customWidth="1"/>
    <col min="9" max="9" width="24.5703125" bestFit="1" customWidth="1"/>
    <col min="10" max="10" width="18.7109375" bestFit="1" customWidth="1"/>
    <col min="11" max="11" width="11.85546875" customWidth="1"/>
    <col min="12" max="12" width="12.7109375" customWidth="1"/>
    <col min="14" max="14" width="11.5703125" bestFit="1" customWidth="1"/>
    <col min="15" max="16" width="11.140625" customWidth="1"/>
    <col min="17" max="17" width="11.42578125" customWidth="1"/>
    <col min="18" max="18" width="31.85546875" customWidth="1"/>
  </cols>
  <sheetData>
    <row r="1" spans="1:18" s="48" customFormat="1" ht="33">
      <c r="A1" s="49"/>
      <c r="B1" s="50" t="s">
        <v>348</v>
      </c>
      <c r="C1" s="50"/>
      <c r="D1" s="49" t="s">
        <v>349</v>
      </c>
      <c r="E1" s="51" t="s">
        <v>353</v>
      </c>
      <c r="F1" s="51" t="s">
        <v>350</v>
      </c>
      <c r="G1" s="51" t="s">
        <v>352</v>
      </c>
      <c r="H1" s="51" t="s">
        <v>354</v>
      </c>
      <c r="I1" s="51" t="s">
        <v>351</v>
      </c>
      <c r="J1" s="51" t="s">
        <v>350</v>
      </c>
      <c r="K1" s="51" t="s">
        <v>352</v>
      </c>
      <c r="L1" s="51" t="s">
        <v>355</v>
      </c>
      <c r="M1" s="6"/>
      <c r="N1" s="51" t="s">
        <v>356</v>
      </c>
      <c r="O1" s="51" t="s">
        <v>358</v>
      </c>
      <c r="P1" s="51" t="s">
        <v>357</v>
      </c>
      <c r="Q1" s="51" t="s">
        <v>355</v>
      </c>
      <c r="R1" s="49" t="s">
        <v>359</v>
      </c>
    </row>
    <row r="2" spans="1:18" ht="51.75" customHeight="1">
      <c r="A2" s="2">
        <v>1</v>
      </c>
      <c r="B2" s="2" t="s">
        <v>0</v>
      </c>
      <c r="C2" s="2" t="s">
        <v>1</v>
      </c>
      <c r="D2" s="2" t="s">
        <v>293</v>
      </c>
      <c r="E2" s="16">
        <v>0</v>
      </c>
      <c r="F2" s="1">
        <f>20</f>
        <v>20</v>
      </c>
      <c r="G2" s="1">
        <v>0</v>
      </c>
      <c r="H2" s="26">
        <f>E2+F2-G2</f>
        <v>20</v>
      </c>
      <c r="I2" s="1">
        <v>5</v>
      </c>
      <c r="J2" s="1">
        <v>0</v>
      </c>
      <c r="K2" s="1">
        <v>0</v>
      </c>
      <c r="L2" s="8">
        <f t="shared" ref="L2:L46" si="0">I2+J2-K2</f>
        <v>5</v>
      </c>
      <c r="M2" s="6"/>
      <c r="N2" s="27">
        <f t="shared" ref="N2:N60" si="1">H2+L2</f>
        <v>25</v>
      </c>
      <c r="O2" s="1">
        <v>12</v>
      </c>
      <c r="P2" s="1">
        <v>8</v>
      </c>
      <c r="Q2" s="7">
        <f>O2-P2</f>
        <v>4</v>
      </c>
      <c r="R2" s="1" t="s">
        <v>290</v>
      </c>
    </row>
    <row r="3" spans="1:18" s="19" customFormat="1" ht="18" customHeight="1">
      <c r="A3" s="15">
        <v>2</v>
      </c>
      <c r="B3" s="15" t="s">
        <v>2</v>
      </c>
      <c r="C3" s="15" t="s">
        <v>3</v>
      </c>
      <c r="D3" s="15" t="s">
        <v>294</v>
      </c>
      <c r="E3" s="16">
        <v>0</v>
      </c>
      <c r="F3" s="43">
        <v>20</v>
      </c>
      <c r="G3" s="1">
        <v>0</v>
      </c>
      <c r="H3" s="44">
        <f>E3+F3-G3</f>
        <v>20</v>
      </c>
      <c r="I3" s="21">
        <v>0</v>
      </c>
      <c r="J3" s="43">
        <v>10</v>
      </c>
      <c r="K3" s="1">
        <v>0</v>
      </c>
      <c r="L3" s="44">
        <f t="shared" si="0"/>
        <v>10</v>
      </c>
      <c r="M3" s="45"/>
      <c r="N3" s="28">
        <f t="shared" si="1"/>
        <v>30</v>
      </c>
      <c r="O3" s="21">
        <v>12</v>
      </c>
      <c r="P3" s="21"/>
      <c r="Q3" s="29">
        <f>O3-P3</f>
        <v>12</v>
      </c>
      <c r="R3" s="21"/>
    </row>
    <row r="4" spans="1:18">
      <c r="A4" s="2">
        <v>3</v>
      </c>
      <c r="B4" s="10" t="s">
        <v>4</v>
      </c>
      <c r="C4" s="2" t="s">
        <v>5</v>
      </c>
      <c r="D4" s="2" t="s">
        <v>295</v>
      </c>
      <c r="E4" s="16">
        <v>0</v>
      </c>
      <c r="F4" s="1">
        <v>15</v>
      </c>
      <c r="G4" s="1">
        <v>0</v>
      </c>
      <c r="H4" s="8">
        <f>E4+F4-G4</f>
        <v>15</v>
      </c>
      <c r="I4" s="1">
        <v>0</v>
      </c>
      <c r="J4" s="1">
        <v>10</v>
      </c>
      <c r="K4" s="1">
        <v>0</v>
      </c>
      <c r="L4" s="8">
        <f t="shared" si="0"/>
        <v>10</v>
      </c>
      <c r="M4" s="6"/>
      <c r="N4" s="27">
        <f t="shared" si="1"/>
        <v>25</v>
      </c>
      <c r="O4" s="1">
        <v>12</v>
      </c>
      <c r="P4" s="1">
        <v>1</v>
      </c>
      <c r="Q4" s="7">
        <f>O4-P4</f>
        <v>11</v>
      </c>
      <c r="R4" s="1" t="s">
        <v>250</v>
      </c>
    </row>
    <row r="5" spans="1:18" ht="25.5">
      <c r="A5" s="2">
        <v>4</v>
      </c>
      <c r="B5" s="13" t="s">
        <v>6</v>
      </c>
      <c r="C5" s="2" t="s">
        <v>7</v>
      </c>
      <c r="D5" s="2" t="s">
        <v>296</v>
      </c>
      <c r="E5" s="16">
        <v>0</v>
      </c>
      <c r="F5" s="1">
        <v>15</v>
      </c>
      <c r="G5" s="1">
        <v>0</v>
      </c>
      <c r="H5" s="8">
        <f>E5+F5-G5</f>
        <v>15</v>
      </c>
      <c r="I5" s="1">
        <v>0</v>
      </c>
      <c r="J5" s="1">
        <v>10</v>
      </c>
      <c r="K5" s="1">
        <v>0</v>
      </c>
      <c r="L5" s="8">
        <f t="shared" si="0"/>
        <v>10</v>
      </c>
      <c r="M5" s="6"/>
      <c r="N5" s="27">
        <f t="shared" si="1"/>
        <v>25</v>
      </c>
      <c r="O5" s="1">
        <v>12</v>
      </c>
      <c r="P5" s="1">
        <v>3</v>
      </c>
      <c r="Q5" s="7">
        <f>O5-P5</f>
        <v>9</v>
      </c>
      <c r="R5" s="36" t="s">
        <v>210</v>
      </c>
    </row>
    <row r="6" spans="1:18" ht="25.5">
      <c r="A6" s="2">
        <v>5</v>
      </c>
      <c r="B6" s="14" t="s">
        <v>8</v>
      </c>
      <c r="C6" s="2" t="s">
        <v>9</v>
      </c>
      <c r="D6" s="2" t="s">
        <v>297</v>
      </c>
      <c r="E6" s="16">
        <v>0</v>
      </c>
      <c r="F6" s="1">
        <v>15</v>
      </c>
      <c r="G6" s="1">
        <v>0</v>
      </c>
      <c r="H6" s="8"/>
      <c r="I6" s="1">
        <v>0</v>
      </c>
      <c r="J6" s="1">
        <v>0</v>
      </c>
      <c r="K6" s="1">
        <v>0</v>
      </c>
      <c r="L6" s="8">
        <f t="shared" si="0"/>
        <v>0</v>
      </c>
      <c r="M6" s="6"/>
      <c r="N6" s="27">
        <f t="shared" si="1"/>
        <v>0</v>
      </c>
      <c r="O6" s="1">
        <v>12</v>
      </c>
      <c r="P6" s="1">
        <v>3</v>
      </c>
      <c r="Q6" s="7">
        <f>O6-P6</f>
        <v>9</v>
      </c>
      <c r="R6" s="1" t="s">
        <v>249</v>
      </c>
    </row>
    <row r="7" spans="1:18" ht="38.25">
      <c r="A7" s="2">
        <v>6</v>
      </c>
      <c r="B7" s="14" t="s">
        <v>10</v>
      </c>
      <c r="C7" s="2" t="s">
        <v>11</v>
      </c>
      <c r="D7" s="2" t="s">
        <v>298</v>
      </c>
      <c r="E7" s="16">
        <v>0</v>
      </c>
      <c r="F7" s="1">
        <v>25</v>
      </c>
      <c r="G7" s="1">
        <v>0</v>
      </c>
      <c r="H7" s="26">
        <f t="shared" ref="H7:H67" si="2">E7+F7-G7</f>
        <v>25</v>
      </c>
      <c r="I7" s="1">
        <v>8</v>
      </c>
      <c r="J7" s="1">
        <v>10</v>
      </c>
      <c r="K7" s="1">
        <v>0</v>
      </c>
      <c r="L7" s="8">
        <f t="shared" si="0"/>
        <v>18</v>
      </c>
      <c r="M7" s="6"/>
      <c r="N7" s="27">
        <f t="shared" si="1"/>
        <v>43</v>
      </c>
      <c r="O7" s="1">
        <v>12</v>
      </c>
      <c r="P7" s="1">
        <v>3</v>
      </c>
      <c r="Q7" s="7">
        <v>0</v>
      </c>
      <c r="R7" s="1" t="s">
        <v>254</v>
      </c>
    </row>
    <row r="8" spans="1:18" ht="25.5">
      <c r="A8" s="2">
        <v>7</v>
      </c>
      <c r="B8" s="2" t="s">
        <v>12</v>
      </c>
      <c r="C8" s="2" t="s">
        <v>13</v>
      </c>
      <c r="D8" s="2" t="s">
        <v>299</v>
      </c>
      <c r="E8" s="16">
        <v>0</v>
      </c>
      <c r="F8" s="1">
        <f>20</f>
        <v>20</v>
      </c>
      <c r="G8" s="1">
        <v>0</v>
      </c>
      <c r="H8" s="8">
        <f t="shared" si="2"/>
        <v>20</v>
      </c>
      <c r="I8" s="1">
        <v>0</v>
      </c>
      <c r="J8" s="1">
        <v>10</v>
      </c>
      <c r="K8" s="1">
        <v>0</v>
      </c>
      <c r="L8" s="8">
        <f t="shared" si="0"/>
        <v>10</v>
      </c>
      <c r="M8" s="6"/>
      <c r="N8" s="27">
        <f t="shared" si="1"/>
        <v>30</v>
      </c>
      <c r="O8" s="1">
        <v>12</v>
      </c>
      <c r="P8" s="1">
        <v>2</v>
      </c>
      <c r="Q8" s="7">
        <f t="shared" ref="Q8:Q18" si="3">O8-P8</f>
        <v>10</v>
      </c>
      <c r="R8" s="1" t="s">
        <v>14</v>
      </c>
    </row>
    <row r="9" spans="1:18">
      <c r="A9" s="2">
        <v>8</v>
      </c>
      <c r="B9" s="13" t="s">
        <v>15</v>
      </c>
      <c r="C9" s="2" t="s">
        <v>16</v>
      </c>
      <c r="D9" s="2" t="s">
        <v>300</v>
      </c>
      <c r="E9" s="16">
        <v>0</v>
      </c>
      <c r="F9" s="1">
        <v>15</v>
      </c>
      <c r="G9" s="1">
        <v>0</v>
      </c>
      <c r="H9" s="8">
        <f t="shared" si="2"/>
        <v>15</v>
      </c>
      <c r="I9" s="1">
        <v>0</v>
      </c>
      <c r="J9" s="1">
        <v>10</v>
      </c>
      <c r="K9" s="1">
        <v>0</v>
      </c>
      <c r="L9" s="8">
        <f t="shared" si="0"/>
        <v>10</v>
      </c>
      <c r="M9" s="6"/>
      <c r="N9" s="27">
        <f t="shared" si="1"/>
        <v>25</v>
      </c>
      <c r="O9" s="1">
        <v>12</v>
      </c>
      <c r="P9" s="1"/>
      <c r="Q9" s="7">
        <f t="shared" si="3"/>
        <v>12</v>
      </c>
      <c r="R9" s="1"/>
    </row>
    <row r="10" spans="1:18">
      <c r="A10" s="2">
        <v>10</v>
      </c>
      <c r="B10" s="14" t="s">
        <v>17</v>
      </c>
      <c r="C10" s="2" t="s">
        <v>18</v>
      </c>
      <c r="D10" s="2" t="s">
        <v>301</v>
      </c>
      <c r="E10" s="16">
        <v>0</v>
      </c>
      <c r="F10" s="1">
        <v>15</v>
      </c>
      <c r="G10" s="1">
        <v>0</v>
      </c>
      <c r="H10" s="8">
        <f t="shared" si="2"/>
        <v>15</v>
      </c>
      <c r="I10" s="1">
        <v>0</v>
      </c>
      <c r="J10" s="1">
        <v>10</v>
      </c>
      <c r="K10" s="1">
        <v>0</v>
      </c>
      <c r="L10" s="8">
        <f t="shared" si="0"/>
        <v>10</v>
      </c>
      <c r="M10" s="6"/>
      <c r="N10" s="27">
        <f t="shared" si="1"/>
        <v>25</v>
      </c>
      <c r="O10" s="1">
        <v>12</v>
      </c>
      <c r="P10" s="1"/>
      <c r="Q10" s="7">
        <f t="shared" si="3"/>
        <v>12</v>
      </c>
      <c r="R10" s="1"/>
    </row>
    <row r="11" spans="1:18">
      <c r="A11" s="2">
        <v>11</v>
      </c>
      <c r="B11" s="13" t="s">
        <v>19</v>
      </c>
      <c r="C11" s="2" t="s">
        <v>20</v>
      </c>
      <c r="D11" s="2" t="s">
        <v>302</v>
      </c>
      <c r="E11" s="16">
        <v>0</v>
      </c>
      <c r="F11" s="1">
        <v>15</v>
      </c>
      <c r="G11" s="1">
        <v>0</v>
      </c>
      <c r="H11" s="8">
        <f t="shared" si="2"/>
        <v>15</v>
      </c>
      <c r="I11" s="1">
        <v>0</v>
      </c>
      <c r="J11" s="1"/>
      <c r="K11" s="1">
        <v>0</v>
      </c>
      <c r="L11" s="8">
        <f t="shared" si="0"/>
        <v>0</v>
      </c>
      <c r="M11" s="6"/>
      <c r="N11" s="27">
        <f t="shared" si="1"/>
        <v>15</v>
      </c>
      <c r="O11" s="1">
        <v>12</v>
      </c>
      <c r="P11" s="1"/>
      <c r="Q11" s="7">
        <f t="shared" si="3"/>
        <v>12</v>
      </c>
      <c r="R11" s="1"/>
    </row>
    <row r="12" spans="1:18" ht="25.5">
      <c r="A12" s="2">
        <v>12</v>
      </c>
      <c r="B12" s="13" t="s">
        <v>21</v>
      </c>
      <c r="C12" s="2" t="s">
        <v>22</v>
      </c>
      <c r="D12" s="2" t="s">
        <v>302</v>
      </c>
      <c r="E12" s="16">
        <v>0</v>
      </c>
      <c r="F12" s="1">
        <v>15</v>
      </c>
      <c r="G12" s="1">
        <v>0</v>
      </c>
      <c r="H12" s="8">
        <f t="shared" si="2"/>
        <v>15</v>
      </c>
      <c r="I12" s="1">
        <v>0</v>
      </c>
      <c r="J12" s="1"/>
      <c r="K12" s="1">
        <v>0</v>
      </c>
      <c r="L12" s="8">
        <f t="shared" si="0"/>
        <v>0</v>
      </c>
      <c r="M12" s="6"/>
      <c r="N12" s="27">
        <f t="shared" si="1"/>
        <v>15</v>
      </c>
      <c r="O12" s="1">
        <v>12</v>
      </c>
      <c r="P12" s="1"/>
      <c r="Q12" s="7">
        <f t="shared" si="3"/>
        <v>12</v>
      </c>
      <c r="R12" s="1"/>
    </row>
    <row r="13" spans="1:18" ht="25.5">
      <c r="A13" s="2">
        <v>13</v>
      </c>
      <c r="B13" s="13" t="s">
        <v>23</v>
      </c>
      <c r="C13" s="2" t="s">
        <v>24</v>
      </c>
      <c r="D13" s="2" t="s">
        <v>303</v>
      </c>
      <c r="E13" s="16">
        <v>0</v>
      </c>
      <c r="F13" s="1">
        <v>15</v>
      </c>
      <c r="G13" s="1">
        <v>0</v>
      </c>
      <c r="H13" s="8">
        <f t="shared" si="2"/>
        <v>15</v>
      </c>
      <c r="I13" s="1">
        <v>7</v>
      </c>
      <c r="J13" s="1">
        <v>10</v>
      </c>
      <c r="K13" s="1">
        <v>0</v>
      </c>
      <c r="L13" s="8">
        <f t="shared" si="0"/>
        <v>17</v>
      </c>
      <c r="M13" s="6"/>
      <c r="N13" s="27">
        <f t="shared" si="1"/>
        <v>32</v>
      </c>
      <c r="O13" s="1">
        <v>12</v>
      </c>
      <c r="P13" s="1"/>
      <c r="Q13" s="7">
        <f t="shared" si="3"/>
        <v>12</v>
      </c>
      <c r="R13" s="1"/>
    </row>
    <row r="14" spans="1:18" ht="25.5">
      <c r="A14" s="2">
        <v>14</v>
      </c>
      <c r="B14" s="2" t="s">
        <v>25</v>
      </c>
      <c r="C14" s="2" t="s">
        <v>26</v>
      </c>
      <c r="D14" s="2" t="s">
        <v>304</v>
      </c>
      <c r="E14" s="16">
        <v>0</v>
      </c>
      <c r="F14" s="1">
        <f>20</f>
        <v>20</v>
      </c>
      <c r="G14" s="1">
        <v>0</v>
      </c>
      <c r="H14" s="8">
        <f t="shared" si="2"/>
        <v>20</v>
      </c>
      <c r="I14" s="1"/>
      <c r="J14" s="1"/>
      <c r="K14" s="1">
        <v>0</v>
      </c>
      <c r="L14" s="8">
        <f t="shared" si="0"/>
        <v>0</v>
      </c>
      <c r="M14" s="6"/>
      <c r="N14" s="27">
        <f t="shared" si="1"/>
        <v>20</v>
      </c>
      <c r="O14" s="1">
        <v>12</v>
      </c>
      <c r="P14" s="1"/>
      <c r="Q14" s="7">
        <f t="shared" si="3"/>
        <v>12</v>
      </c>
      <c r="R14" s="1"/>
    </row>
    <row r="15" spans="1:18">
      <c r="A15" s="2">
        <v>15</v>
      </c>
      <c r="B15" s="2" t="s">
        <v>27</v>
      </c>
      <c r="C15" s="2" t="s">
        <v>28</v>
      </c>
      <c r="D15" s="2" t="s">
        <v>305</v>
      </c>
      <c r="E15" s="16">
        <v>0</v>
      </c>
      <c r="F15" s="1">
        <f>25+1</f>
        <v>26</v>
      </c>
      <c r="G15" s="1">
        <v>0</v>
      </c>
      <c r="H15" s="8">
        <f t="shared" si="2"/>
        <v>26</v>
      </c>
      <c r="I15" s="1">
        <v>30</v>
      </c>
      <c r="J15" s="1">
        <v>10</v>
      </c>
      <c r="K15" s="1">
        <v>0</v>
      </c>
      <c r="L15" s="8">
        <f t="shared" si="0"/>
        <v>40</v>
      </c>
      <c r="M15" s="6"/>
      <c r="N15" s="27">
        <f t="shared" si="1"/>
        <v>66</v>
      </c>
      <c r="O15" s="1">
        <v>12</v>
      </c>
      <c r="P15" s="1"/>
      <c r="Q15" s="7">
        <f t="shared" si="3"/>
        <v>12</v>
      </c>
      <c r="R15" s="1"/>
    </row>
    <row r="16" spans="1:18" ht="25.5">
      <c r="A16" s="2">
        <v>16</v>
      </c>
      <c r="B16" s="13" t="s">
        <v>29</v>
      </c>
      <c r="C16" s="2" t="s">
        <v>30</v>
      </c>
      <c r="D16" s="2" t="s">
        <v>306</v>
      </c>
      <c r="E16" s="16">
        <v>0</v>
      </c>
      <c r="F16" s="1">
        <v>20</v>
      </c>
      <c r="G16" s="1">
        <v>0</v>
      </c>
      <c r="H16" s="8">
        <f t="shared" si="2"/>
        <v>20</v>
      </c>
      <c r="I16" s="1">
        <v>0</v>
      </c>
      <c r="J16" s="1">
        <v>0</v>
      </c>
      <c r="K16" s="1">
        <v>0</v>
      </c>
      <c r="L16" s="8">
        <f t="shared" si="0"/>
        <v>0</v>
      </c>
      <c r="M16" s="6"/>
      <c r="N16" s="27">
        <f t="shared" si="1"/>
        <v>20</v>
      </c>
      <c r="O16" s="1">
        <v>12</v>
      </c>
      <c r="P16" s="1">
        <v>2</v>
      </c>
      <c r="Q16" s="7">
        <f t="shared" si="3"/>
        <v>10</v>
      </c>
      <c r="R16" s="1" t="s">
        <v>282</v>
      </c>
    </row>
    <row r="17" spans="1:18">
      <c r="A17" s="2">
        <v>17</v>
      </c>
      <c r="B17" s="13" t="s">
        <v>31</v>
      </c>
      <c r="C17" s="2" t="s">
        <v>32</v>
      </c>
      <c r="D17" s="2" t="s">
        <v>307</v>
      </c>
      <c r="E17" s="16">
        <v>0</v>
      </c>
      <c r="F17" s="1">
        <v>15</v>
      </c>
      <c r="G17" s="1">
        <v>0</v>
      </c>
      <c r="H17" s="8">
        <f t="shared" si="2"/>
        <v>15</v>
      </c>
      <c r="I17" s="1">
        <v>4</v>
      </c>
      <c r="J17" s="1">
        <v>1</v>
      </c>
      <c r="K17" s="1">
        <v>0</v>
      </c>
      <c r="L17" s="8">
        <f t="shared" si="0"/>
        <v>5</v>
      </c>
      <c r="M17" s="6"/>
      <c r="N17" s="27">
        <f t="shared" si="1"/>
        <v>20</v>
      </c>
      <c r="O17" s="1">
        <v>12</v>
      </c>
      <c r="P17" s="1"/>
      <c r="Q17" s="7">
        <f t="shared" si="3"/>
        <v>12</v>
      </c>
      <c r="R17" s="1"/>
    </row>
    <row r="18" spans="1:18" ht="25.5">
      <c r="A18" s="2">
        <v>18</v>
      </c>
      <c r="B18" s="2" t="s">
        <v>33</v>
      </c>
      <c r="C18" s="2" t="s">
        <v>34</v>
      </c>
      <c r="D18" s="2" t="s">
        <v>308</v>
      </c>
      <c r="E18" s="16">
        <v>0</v>
      </c>
      <c r="F18" s="1">
        <v>20</v>
      </c>
      <c r="G18" s="1">
        <v>0</v>
      </c>
      <c r="H18" s="8">
        <f t="shared" si="2"/>
        <v>20</v>
      </c>
      <c r="I18" s="1">
        <v>0</v>
      </c>
      <c r="J18" s="1">
        <v>0</v>
      </c>
      <c r="K18" s="1">
        <v>0</v>
      </c>
      <c r="L18" s="8">
        <f t="shared" si="0"/>
        <v>0</v>
      </c>
      <c r="M18" s="6"/>
      <c r="N18" s="27">
        <f t="shared" si="1"/>
        <v>20</v>
      </c>
      <c r="O18" s="1">
        <v>12</v>
      </c>
      <c r="P18" s="1"/>
      <c r="Q18" s="7">
        <f t="shared" si="3"/>
        <v>12</v>
      </c>
      <c r="R18" s="1"/>
    </row>
    <row r="19" spans="1:18">
      <c r="A19" s="2">
        <v>19</v>
      </c>
      <c r="B19" s="2" t="s">
        <v>35</v>
      </c>
      <c r="C19" s="2" t="s">
        <v>36</v>
      </c>
      <c r="D19" s="2" t="s">
        <v>294</v>
      </c>
      <c r="E19" s="16">
        <v>0</v>
      </c>
      <c r="F19" s="1">
        <v>20</v>
      </c>
      <c r="G19" s="1">
        <v>0</v>
      </c>
      <c r="H19" s="8">
        <f t="shared" si="2"/>
        <v>20</v>
      </c>
      <c r="I19" s="1">
        <v>0</v>
      </c>
      <c r="J19" s="1">
        <v>10</v>
      </c>
      <c r="K19" s="1">
        <v>0</v>
      </c>
      <c r="L19" s="8">
        <f t="shared" si="0"/>
        <v>10</v>
      </c>
      <c r="M19" s="6"/>
      <c r="N19" s="27">
        <f t="shared" si="1"/>
        <v>30</v>
      </c>
      <c r="O19" s="1"/>
      <c r="P19" s="1"/>
      <c r="Q19" s="7"/>
      <c r="R19" s="1"/>
    </row>
    <row r="20" spans="1:18" ht="25.5">
      <c r="A20" s="2">
        <v>20</v>
      </c>
      <c r="B20" s="2" t="s">
        <v>37</v>
      </c>
      <c r="C20" s="2" t="s">
        <v>38</v>
      </c>
      <c r="D20" s="2" t="s">
        <v>309</v>
      </c>
      <c r="E20" s="16">
        <v>0</v>
      </c>
      <c r="F20" s="1">
        <v>20</v>
      </c>
      <c r="G20" s="1">
        <v>0</v>
      </c>
      <c r="H20" s="8">
        <f t="shared" si="2"/>
        <v>20</v>
      </c>
      <c r="I20" s="1">
        <v>24</v>
      </c>
      <c r="J20" s="1">
        <v>10</v>
      </c>
      <c r="K20" s="1">
        <v>0</v>
      </c>
      <c r="L20" s="8">
        <f t="shared" si="0"/>
        <v>34</v>
      </c>
      <c r="M20" s="6"/>
      <c r="N20" s="27">
        <f t="shared" si="1"/>
        <v>54</v>
      </c>
      <c r="O20" s="1">
        <v>12</v>
      </c>
      <c r="P20" s="1"/>
      <c r="Q20" s="7">
        <f t="shared" ref="Q20:Q45" si="4">O20-P20</f>
        <v>12</v>
      </c>
      <c r="R20" s="1"/>
    </row>
    <row r="21" spans="1:18">
      <c r="A21" s="2">
        <v>21</v>
      </c>
      <c r="B21" s="2" t="s">
        <v>39</v>
      </c>
      <c r="C21" s="2" t="s">
        <v>30</v>
      </c>
      <c r="D21" s="2" t="s">
        <v>301</v>
      </c>
      <c r="E21" s="16">
        <v>0</v>
      </c>
      <c r="F21" s="1">
        <v>15</v>
      </c>
      <c r="G21" s="1">
        <v>0</v>
      </c>
      <c r="H21" s="8">
        <f t="shared" si="2"/>
        <v>15</v>
      </c>
      <c r="I21" s="1">
        <v>0</v>
      </c>
      <c r="J21" s="1">
        <v>10</v>
      </c>
      <c r="K21" s="1">
        <v>0</v>
      </c>
      <c r="L21" s="8">
        <f t="shared" si="0"/>
        <v>10</v>
      </c>
      <c r="M21" s="6"/>
      <c r="N21" s="27">
        <f t="shared" si="1"/>
        <v>25</v>
      </c>
      <c r="O21" s="1">
        <v>12</v>
      </c>
      <c r="P21" s="1"/>
      <c r="Q21" s="7">
        <f t="shared" si="4"/>
        <v>12</v>
      </c>
      <c r="R21" s="1"/>
    </row>
    <row r="22" spans="1:18">
      <c r="A22" s="2">
        <v>22</v>
      </c>
      <c r="B22" s="2" t="s">
        <v>206</v>
      </c>
      <c r="C22" s="2" t="s">
        <v>207</v>
      </c>
      <c r="D22" s="2" t="s">
        <v>310</v>
      </c>
      <c r="E22" s="16">
        <v>0</v>
      </c>
      <c r="F22" s="1">
        <v>15</v>
      </c>
      <c r="G22" s="1">
        <v>0</v>
      </c>
      <c r="H22" s="8">
        <f t="shared" si="2"/>
        <v>15</v>
      </c>
      <c r="I22" s="1"/>
      <c r="J22" s="1">
        <v>1</v>
      </c>
      <c r="K22" s="1">
        <v>0</v>
      </c>
      <c r="L22" s="8">
        <f t="shared" si="0"/>
        <v>1</v>
      </c>
      <c r="M22" s="6"/>
      <c r="N22" s="27">
        <f t="shared" si="1"/>
        <v>16</v>
      </c>
      <c r="O22" s="1">
        <v>12</v>
      </c>
      <c r="P22" s="1"/>
      <c r="Q22" s="7">
        <f t="shared" si="4"/>
        <v>12</v>
      </c>
      <c r="R22" s="1"/>
    </row>
    <row r="23" spans="1:18" ht="25.5">
      <c r="A23" s="2">
        <v>23</v>
      </c>
      <c r="B23" s="14" t="s">
        <v>40</v>
      </c>
      <c r="C23" s="2" t="s">
        <v>41</v>
      </c>
      <c r="D23" s="2" t="s">
        <v>311</v>
      </c>
      <c r="E23" s="16">
        <v>0</v>
      </c>
      <c r="F23" s="1">
        <v>15</v>
      </c>
      <c r="G23" s="1">
        <v>0</v>
      </c>
      <c r="H23" s="8">
        <f t="shared" si="2"/>
        <v>15</v>
      </c>
      <c r="I23" s="1">
        <v>3</v>
      </c>
      <c r="J23" s="1">
        <v>10</v>
      </c>
      <c r="K23" s="1">
        <v>0</v>
      </c>
      <c r="L23" s="8">
        <f t="shared" si="0"/>
        <v>13</v>
      </c>
      <c r="M23" s="6"/>
      <c r="N23" s="27">
        <f t="shared" si="1"/>
        <v>28</v>
      </c>
      <c r="O23" s="1">
        <v>12</v>
      </c>
      <c r="P23" s="1">
        <v>3</v>
      </c>
      <c r="Q23" s="7">
        <f t="shared" si="4"/>
        <v>9</v>
      </c>
      <c r="R23" s="1" t="s">
        <v>263</v>
      </c>
    </row>
    <row r="24" spans="1:18">
      <c r="A24" s="2">
        <v>24</v>
      </c>
      <c r="B24" s="14" t="s">
        <v>42</v>
      </c>
      <c r="C24" s="2" t="s">
        <v>43</v>
      </c>
      <c r="D24" s="2" t="s">
        <v>312</v>
      </c>
      <c r="E24" s="16">
        <v>0</v>
      </c>
      <c r="F24" s="1">
        <v>15</v>
      </c>
      <c r="G24" s="1">
        <v>0</v>
      </c>
      <c r="H24" s="8">
        <f t="shared" si="2"/>
        <v>15</v>
      </c>
      <c r="I24" s="1">
        <v>10</v>
      </c>
      <c r="J24" s="1">
        <v>0</v>
      </c>
      <c r="K24" s="1">
        <v>0</v>
      </c>
      <c r="L24" s="8">
        <f t="shared" si="0"/>
        <v>10</v>
      </c>
      <c r="M24" s="6"/>
      <c r="N24" s="27">
        <f t="shared" si="1"/>
        <v>25</v>
      </c>
      <c r="O24" s="1">
        <v>12</v>
      </c>
      <c r="P24" s="1"/>
      <c r="Q24" s="7">
        <f t="shared" si="4"/>
        <v>12</v>
      </c>
      <c r="R24" s="1" t="s">
        <v>270</v>
      </c>
    </row>
    <row r="25" spans="1:18" ht="25.5">
      <c r="A25" s="2">
        <v>25</v>
      </c>
      <c r="B25" s="2" t="s">
        <v>44</v>
      </c>
      <c r="C25" s="2" t="s">
        <v>45</v>
      </c>
      <c r="D25" s="2" t="s">
        <v>313</v>
      </c>
      <c r="E25" s="16">
        <v>0</v>
      </c>
      <c r="F25" s="1">
        <f>15</f>
        <v>15</v>
      </c>
      <c r="G25" s="1">
        <v>0</v>
      </c>
      <c r="H25" s="8">
        <f t="shared" si="2"/>
        <v>15</v>
      </c>
      <c r="I25" s="1">
        <v>0</v>
      </c>
      <c r="J25" s="1">
        <v>0</v>
      </c>
      <c r="K25" s="1">
        <v>0</v>
      </c>
      <c r="L25" s="8">
        <f t="shared" si="0"/>
        <v>0</v>
      </c>
      <c r="M25" s="6"/>
      <c r="N25" s="27">
        <f t="shared" si="1"/>
        <v>15</v>
      </c>
      <c r="O25" s="1">
        <v>12</v>
      </c>
      <c r="P25" s="1"/>
      <c r="Q25" s="7">
        <f t="shared" si="4"/>
        <v>12</v>
      </c>
      <c r="R25" s="1"/>
    </row>
    <row r="26" spans="1:18" ht="25.5">
      <c r="A26" s="2">
        <v>26</v>
      </c>
      <c r="B26" s="2" t="s">
        <v>46</v>
      </c>
      <c r="C26" s="2" t="s">
        <v>47</v>
      </c>
      <c r="D26" s="2" t="s">
        <v>303</v>
      </c>
      <c r="E26" s="16">
        <v>0</v>
      </c>
      <c r="F26" s="1">
        <v>20</v>
      </c>
      <c r="G26" s="1">
        <v>0</v>
      </c>
      <c r="H26" s="8">
        <f t="shared" si="2"/>
        <v>20</v>
      </c>
      <c r="I26" s="1">
        <v>0</v>
      </c>
      <c r="J26" s="1">
        <v>10</v>
      </c>
      <c r="K26" s="1">
        <v>0</v>
      </c>
      <c r="L26" s="8">
        <f t="shared" si="0"/>
        <v>10</v>
      </c>
      <c r="M26" s="6"/>
      <c r="N26" s="27">
        <f t="shared" si="1"/>
        <v>30</v>
      </c>
      <c r="O26" s="1">
        <v>12</v>
      </c>
      <c r="P26" s="1"/>
      <c r="Q26" s="7">
        <f t="shared" si="4"/>
        <v>12</v>
      </c>
      <c r="R26" s="1"/>
    </row>
    <row r="27" spans="1:18" ht="25.5">
      <c r="A27" s="2">
        <v>27</v>
      </c>
      <c r="B27" s="2" t="s">
        <v>48</v>
      </c>
      <c r="C27" s="2" t="s">
        <v>49</v>
      </c>
      <c r="D27" s="2" t="s">
        <v>314</v>
      </c>
      <c r="E27" s="16">
        <v>0</v>
      </c>
      <c r="F27" s="1">
        <v>20</v>
      </c>
      <c r="G27" s="1">
        <v>0</v>
      </c>
      <c r="H27" s="8">
        <f t="shared" si="2"/>
        <v>20</v>
      </c>
      <c r="I27" s="1">
        <v>0</v>
      </c>
      <c r="J27" s="1">
        <v>10</v>
      </c>
      <c r="K27" s="1">
        <v>0</v>
      </c>
      <c r="L27" s="8">
        <f t="shared" si="0"/>
        <v>10</v>
      </c>
      <c r="M27" s="6"/>
      <c r="N27" s="27">
        <f t="shared" si="1"/>
        <v>30</v>
      </c>
      <c r="O27" s="1">
        <v>12</v>
      </c>
      <c r="P27" s="1"/>
      <c r="Q27" s="7">
        <f t="shared" si="4"/>
        <v>12</v>
      </c>
      <c r="R27" s="1"/>
    </row>
    <row r="28" spans="1:18">
      <c r="A28" s="2">
        <v>28</v>
      </c>
      <c r="B28" s="14" t="s">
        <v>50</v>
      </c>
      <c r="C28" s="2" t="s">
        <v>51</v>
      </c>
      <c r="D28" s="2" t="s">
        <v>311</v>
      </c>
      <c r="E28" s="16">
        <v>0</v>
      </c>
      <c r="F28" s="1">
        <v>15</v>
      </c>
      <c r="G28" s="1">
        <v>0</v>
      </c>
      <c r="H28" s="8">
        <f t="shared" si="2"/>
        <v>15</v>
      </c>
      <c r="I28" s="1">
        <v>5</v>
      </c>
      <c r="J28" s="1">
        <v>10</v>
      </c>
      <c r="K28" s="1">
        <v>0</v>
      </c>
      <c r="L28" s="8">
        <f t="shared" si="0"/>
        <v>15</v>
      </c>
      <c r="M28" s="6"/>
      <c r="N28" s="27">
        <f t="shared" si="1"/>
        <v>30</v>
      </c>
      <c r="O28" s="1">
        <v>12</v>
      </c>
      <c r="P28" s="1"/>
      <c r="Q28" s="7">
        <f t="shared" si="4"/>
        <v>12</v>
      </c>
      <c r="R28" s="1"/>
    </row>
    <row r="29" spans="1:18">
      <c r="A29" s="2">
        <v>29</v>
      </c>
      <c r="B29" s="12" t="s">
        <v>52</v>
      </c>
      <c r="C29" s="2" t="s">
        <v>53</v>
      </c>
      <c r="D29" s="2" t="s">
        <v>315</v>
      </c>
      <c r="E29" s="16">
        <v>0</v>
      </c>
      <c r="F29" s="1">
        <v>20</v>
      </c>
      <c r="G29" s="1">
        <v>0</v>
      </c>
      <c r="H29" s="26">
        <f t="shared" si="2"/>
        <v>20</v>
      </c>
      <c r="I29" s="1">
        <v>8</v>
      </c>
      <c r="J29" s="1">
        <v>10</v>
      </c>
      <c r="K29" s="1">
        <v>0</v>
      </c>
      <c r="L29" s="8">
        <f t="shared" si="0"/>
        <v>18</v>
      </c>
      <c r="M29" s="6"/>
      <c r="N29" s="27">
        <f t="shared" si="1"/>
        <v>38</v>
      </c>
      <c r="O29" s="1">
        <v>12</v>
      </c>
      <c r="P29" s="1">
        <v>1</v>
      </c>
      <c r="Q29" s="7">
        <f t="shared" si="4"/>
        <v>11</v>
      </c>
      <c r="R29" s="36" t="s">
        <v>212</v>
      </c>
    </row>
    <row r="30" spans="1:18">
      <c r="A30" s="2">
        <v>30</v>
      </c>
      <c r="B30" s="2" t="s">
        <v>54</v>
      </c>
      <c r="C30" s="2" t="s">
        <v>55</v>
      </c>
      <c r="D30" s="2" t="s">
        <v>316</v>
      </c>
      <c r="E30" s="16">
        <v>0</v>
      </c>
      <c r="F30" s="1">
        <v>25</v>
      </c>
      <c r="G30" s="1">
        <v>0</v>
      </c>
      <c r="H30" s="8">
        <f t="shared" si="2"/>
        <v>25</v>
      </c>
      <c r="I30" s="1">
        <v>2</v>
      </c>
      <c r="J30" s="1">
        <v>10</v>
      </c>
      <c r="K30" s="1">
        <v>0</v>
      </c>
      <c r="L30" s="8">
        <f t="shared" si="0"/>
        <v>12</v>
      </c>
      <c r="M30" s="6"/>
      <c r="N30" s="27">
        <f t="shared" si="1"/>
        <v>37</v>
      </c>
      <c r="O30" s="1">
        <v>12</v>
      </c>
      <c r="P30" s="1"/>
      <c r="Q30" s="7">
        <f t="shared" si="4"/>
        <v>12</v>
      </c>
      <c r="R30" s="1"/>
    </row>
    <row r="31" spans="1:18">
      <c r="A31" s="2">
        <v>31</v>
      </c>
      <c r="B31" s="2" t="s">
        <v>56</v>
      </c>
      <c r="C31" s="2" t="s">
        <v>57</v>
      </c>
      <c r="D31" s="2" t="s">
        <v>301</v>
      </c>
      <c r="E31" s="16">
        <v>0</v>
      </c>
      <c r="F31" s="1">
        <v>16</v>
      </c>
      <c r="G31" s="1">
        <v>0</v>
      </c>
      <c r="H31" s="8">
        <f t="shared" si="2"/>
        <v>16</v>
      </c>
      <c r="I31" s="1">
        <v>0</v>
      </c>
      <c r="J31" s="1">
        <v>10</v>
      </c>
      <c r="K31" s="1">
        <v>0</v>
      </c>
      <c r="L31" s="8">
        <f t="shared" si="0"/>
        <v>10</v>
      </c>
      <c r="M31" s="6"/>
      <c r="N31" s="27">
        <f t="shared" si="1"/>
        <v>26</v>
      </c>
      <c r="O31" s="1">
        <v>12</v>
      </c>
      <c r="P31" s="1"/>
      <c r="Q31" s="7">
        <f t="shared" si="4"/>
        <v>12</v>
      </c>
      <c r="R31" s="1"/>
    </row>
    <row r="32" spans="1:18">
      <c r="A32" s="2">
        <v>32</v>
      </c>
      <c r="B32" s="2" t="s">
        <v>58</v>
      </c>
      <c r="C32" s="2" t="s">
        <v>59</v>
      </c>
      <c r="D32" s="2" t="s">
        <v>311</v>
      </c>
      <c r="E32" s="16">
        <v>0</v>
      </c>
      <c r="F32" s="1">
        <f>15*(6/12)</f>
        <v>7.5</v>
      </c>
      <c r="G32" s="1">
        <v>0</v>
      </c>
      <c r="H32" s="8">
        <f t="shared" si="2"/>
        <v>7.5</v>
      </c>
      <c r="I32" s="1">
        <v>0</v>
      </c>
      <c r="J32" s="1">
        <v>0</v>
      </c>
      <c r="K32" s="1">
        <v>0</v>
      </c>
      <c r="L32" s="8">
        <f t="shared" si="0"/>
        <v>0</v>
      </c>
      <c r="M32" s="6"/>
      <c r="N32" s="27">
        <f t="shared" si="1"/>
        <v>7.5</v>
      </c>
      <c r="O32" s="1">
        <v>12</v>
      </c>
      <c r="P32" s="1"/>
      <c r="Q32" s="7">
        <f t="shared" si="4"/>
        <v>12</v>
      </c>
      <c r="R32" s="1"/>
    </row>
    <row r="33" spans="1:18">
      <c r="A33" s="2">
        <v>33</v>
      </c>
      <c r="B33" s="2" t="s">
        <v>60</v>
      </c>
      <c r="C33" s="2" t="s">
        <v>61</v>
      </c>
      <c r="D33" s="2" t="s">
        <v>317</v>
      </c>
      <c r="E33" s="16">
        <v>0</v>
      </c>
      <c r="F33" s="1">
        <f>20</f>
        <v>20</v>
      </c>
      <c r="G33" s="1">
        <v>0</v>
      </c>
      <c r="H33" s="8">
        <f t="shared" si="2"/>
        <v>20</v>
      </c>
      <c r="I33" s="1">
        <v>0</v>
      </c>
      <c r="J33" s="1">
        <v>10</v>
      </c>
      <c r="K33" s="1">
        <v>0</v>
      </c>
      <c r="L33" s="8">
        <f t="shared" si="0"/>
        <v>10</v>
      </c>
      <c r="M33" s="6"/>
      <c r="N33" s="27">
        <f t="shared" si="1"/>
        <v>30</v>
      </c>
      <c r="O33" s="1">
        <v>12</v>
      </c>
      <c r="P33" s="1"/>
      <c r="Q33" s="7">
        <f t="shared" si="4"/>
        <v>12</v>
      </c>
      <c r="R33" s="1"/>
    </row>
    <row r="34" spans="1:18">
      <c r="A34" s="2">
        <v>35</v>
      </c>
      <c r="B34" s="2" t="s">
        <v>62</v>
      </c>
      <c r="C34" s="2" t="s">
        <v>63</v>
      </c>
      <c r="D34" s="2" t="s">
        <v>312</v>
      </c>
      <c r="E34" s="16">
        <v>0</v>
      </c>
      <c r="F34" s="1">
        <v>15</v>
      </c>
      <c r="G34" s="1">
        <v>0</v>
      </c>
      <c r="H34" s="8">
        <f t="shared" si="2"/>
        <v>15</v>
      </c>
      <c r="I34" s="1">
        <v>10</v>
      </c>
      <c r="J34" s="1">
        <v>10</v>
      </c>
      <c r="K34" s="1">
        <v>0</v>
      </c>
      <c r="L34" s="8">
        <f t="shared" si="0"/>
        <v>20</v>
      </c>
      <c r="M34" s="6"/>
      <c r="N34" s="27">
        <f t="shared" si="1"/>
        <v>35</v>
      </c>
      <c r="O34" s="1">
        <v>12</v>
      </c>
      <c r="P34" s="1"/>
      <c r="Q34" s="7">
        <f t="shared" si="4"/>
        <v>12</v>
      </c>
      <c r="R34" s="1"/>
    </row>
    <row r="35" spans="1:18">
      <c r="A35" s="2">
        <v>37</v>
      </c>
      <c r="B35" s="2" t="s">
        <v>64</v>
      </c>
      <c r="C35" s="2" t="s">
        <v>65</v>
      </c>
      <c r="D35" s="2" t="s">
        <v>318</v>
      </c>
      <c r="E35" s="16">
        <v>0</v>
      </c>
      <c r="F35" s="1">
        <f>15</f>
        <v>15</v>
      </c>
      <c r="G35" s="1">
        <v>0</v>
      </c>
      <c r="H35" s="8">
        <f t="shared" si="2"/>
        <v>15</v>
      </c>
      <c r="I35" s="1">
        <v>10</v>
      </c>
      <c r="J35" s="1">
        <v>3</v>
      </c>
      <c r="K35" s="1">
        <v>0</v>
      </c>
      <c r="L35" s="8">
        <f t="shared" si="0"/>
        <v>13</v>
      </c>
      <c r="M35" s="6"/>
      <c r="N35" s="27">
        <f t="shared" si="1"/>
        <v>28</v>
      </c>
      <c r="O35" s="1">
        <v>12</v>
      </c>
      <c r="P35" s="1"/>
      <c r="Q35" s="7">
        <f t="shared" si="4"/>
        <v>12</v>
      </c>
      <c r="R35" s="1"/>
    </row>
    <row r="36" spans="1:18">
      <c r="A36" s="2">
        <v>38</v>
      </c>
      <c r="B36" s="13" t="s">
        <v>66</v>
      </c>
      <c r="C36" s="2" t="s">
        <v>67</v>
      </c>
      <c r="D36" s="2" t="s">
        <v>315</v>
      </c>
      <c r="E36" s="16">
        <v>0</v>
      </c>
      <c r="F36" s="18">
        <v>20</v>
      </c>
      <c r="G36" s="1">
        <v>0</v>
      </c>
      <c r="H36" s="26">
        <f t="shared" si="2"/>
        <v>20</v>
      </c>
      <c r="I36" s="1">
        <v>6</v>
      </c>
      <c r="J36" s="1">
        <v>10</v>
      </c>
      <c r="K36" s="1">
        <v>0</v>
      </c>
      <c r="L36" s="8">
        <f t="shared" si="0"/>
        <v>16</v>
      </c>
      <c r="M36" s="6"/>
      <c r="N36" s="27">
        <f t="shared" si="1"/>
        <v>36</v>
      </c>
      <c r="O36" s="1">
        <v>12</v>
      </c>
      <c r="P36" s="1">
        <v>1</v>
      </c>
      <c r="Q36" s="7">
        <f t="shared" si="4"/>
        <v>11</v>
      </c>
      <c r="R36" s="4" t="s">
        <v>258</v>
      </c>
    </row>
    <row r="37" spans="1:18" ht="25.5">
      <c r="A37" s="2">
        <v>39</v>
      </c>
      <c r="B37" s="2" t="s">
        <v>68</v>
      </c>
      <c r="C37" s="2" t="s">
        <v>69</v>
      </c>
      <c r="D37" s="2" t="s">
        <v>313</v>
      </c>
      <c r="E37" s="16">
        <v>0</v>
      </c>
      <c r="F37" s="1">
        <f>15</f>
        <v>15</v>
      </c>
      <c r="G37" s="1">
        <v>0</v>
      </c>
      <c r="H37" s="8">
        <f t="shared" si="2"/>
        <v>15</v>
      </c>
      <c r="I37" s="1">
        <v>0</v>
      </c>
      <c r="J37" s="1">
        <v>0</v>
      </c>
      <c r="K37" s="1">
        <v>0</v>
      </c>
      <c r="L37" s="8">
        <f t="shared" si="0"/>
        <v>0</v>
      </c>
      <c r="M37" s="6"/>
      <c r="N37" s="28">
        <f t="shared" si="1"/>
        <v>15</v>
      </c>
      <c r="O37" s="21">
        <v>12</v>
      </c>
      <c r="P37" s="21"/>
      <c r="Q37" s="29">
        <f t="shared" si="4"/>
        <v>12</v>
      </c>
      <c r="R37" s="1"/>
    </row>
    <row r="38" spans="1:18">
      <c r="A38" s="2">
        <v>40</v>
      </c>
      <c r="B38" s="13" t="s">
        <v>68</v>
      </c>
      <c r="C38" s="2" t="s">
        <v>70</v>
      </c>
      <c r="D38" s="2" t="s">
        <v>307</v>
      </c>
      <c r="E38" s="16">
        <v>0</v>
      </c>
      <c r="F38" s="1">
        <v>15</v>
      </c>
      <c r="G38" s="1">
        <v>0</v>
      </c>
      <c r="H38" s="8">
        <f t="shared" si="2"/>
        <v>15</v>
      </c>
      <c r="I38" s="1">
        <v>0</v>
      </c>
      <c r="J38" s="1">
        <v>0</v>
      </c>
      <c r="K38" s="1">
        <v>0</v>
      </c>
      <c r="L38" s="8">
        <f t="shared" si="0"/>
        <v>0</v>
      </c>
      <c r="M38" s="6"/>
      <c r="N38" s="27">
        <f t="shared" si="1"/>
        <v>15</v>
      </c>
      <c r="O38" s="1">
        <v>12</v>
      </c>
      <c r="P38" s="1"/>
      <c r="Q38" s="7">
        <f t="shared" si="4"/>
        <v>12</v>
      </c>
      <c r="R38" s="1"/>
    </row>
    <row r="39" spans="1:18" ht="25.5">
      <c r="A39" s="2">
        <v>41</v>
      </c>
      <c r="B39" s="2" t="s">
        <v>71</v>
      </c>
      <c r="C39" s="2" t="s">
        <v>72</v>
      </c>
      <c r="D39" s="2" t="s">
        <v>313</v>
      </c>
      <c r="E39" s="16">
        <v>0</v>
      </c>
      <c r="F39" s="1">
        <v>15</v>
      </c>
      <c r="G39" s="1">
        <v>0</v>
      </c>
      <c r="H39" s="8">
        <f t="shared" si="2"/>
        <v>15</v>
      </c>
      <c r="I39" s="1">
        <v>11</v>
      </c>
      <c r="J39" s="1">
        <v>10</v>
      </c>
      <c r="K39" s="1">
        <v>0</v>
      </c>
      <c r="L39" s="8">
        <f t="shared" si="0"/>
        <v>21</v>
      </c>
      <c r="M39" s="6"/>
      <c r="N39" s="27">
        <f t="shared" si="1"/>
        <v>36</v>
      </c>
      <c r="O39" s="1">
        <v>12</v>
      </c>
      <c r="P39" s="1">
        <v>3</v>
      </c>
      <c r="Q39" s="7">
        <f t="shared" si="4"/>
        <v>9</v>
      </c>
      <c r="R39" s="1" t="s">
        <v>253</v>
      </c>
    </row>
    <row r="40" spans="1:18" ht="25.5">
      <c r="A40" s="2">
        <v>42</v>
      </c>
      <c r="B40" s="20" t="s">
        <v>255</v>
      </c>
      <c r="C40" s="20" t="s">
        <v>73</v>
      </c>
      <c r="D40" s="20" t="s">
        <v>303</v>
      </c>
      <c r="E40" s="16">
        <v>0</v>
      </c>
      <c r="F40" s="18">
        <v>15</v>
      </c>
      <c r="G40" s="1">
        <v>0</v>
      </c>
      <c r="H40" s="8">
        <f t="shared" si="2"/>
        <v>15</v>
      </c>
      <c r="I40" s="18">
        <v>0</v>
      </c>
      <c r="J40" s="18">
        <v>4</v>
      </c>
      <c r="K40" s="1">
        <v>0</v>
      </c>
      <c r="L40" s="8">
        <f t="shared" si="0"/>
        <v>4</v>
      </c>
      <c r="M40" s="6"/>
      <c r="N40" s="27">
        <f t="shared" si="1"/>
        <v>19</v>
      </c>
      <c r="O40" s="18">
        <v>12</v>
      </c>
      <c r="P40" s="18"/>
      <c r="Q40" s="7">
        <f t="shared" si="4"/>
        <v>12</v>
      </c>
      <c r="R40" s="18"/>
    </row>
    <row r="41" spans="1:18">
      <c r="A41" s="2">
        <v>43</v>
      </c>
      <c r="B41" s="2" t="s">
        <v>74</v>
      </c>
      <c r="C41" s="2" t="s">
        <v>75</v>
      </c>
      <c r="D41" s="2" t="s">
        <v>294</v>
      </c>
      <c r="E41" s="16">
        <v>0</v>
      </c>
      <c r="F41" s="1">
        <f>20</f>
        <v>20</v>
      </c>
      <c r="G41" s="1">
        <v>0</v>
      </c>
      <c r="H41" s="8">
        <f t="shared" si="2"/>
        <v>20</v>
      </c>
      <c r="I41" s="18">
        <v>0</v>
      </c>
      <c r="J41" s="1">
        <v>10</v>
      </c>
      <c r="K41" s="1">
        <v>0</v>
      </c>
      <c r="L41" s="8">
        <f t="shared" si="0"/>
        <v>10</v>
      </c>
      <c r="M41" s="6"/>
      <c r="N41" s="27">
        <f t="shared" si="1"/>
        <v>30</v>
      </c>
      <c r="O41" s="1">
        <v>11</v>
      </c>
      <c r="P41" s="1"/>
      <c r="Q41" s="7">
        <f t="shared" si="4"/>
        <v>11</v>
      </c>
      <c r="R41" s="1"/>
    </row>
    <row r="42" spans="1:18" ht="25.5">
      <c r="A42" s="2">
        <v>44</v>
      </c>
      <c r="B42" s="2" t="s">
        <v>76</v>
      </c>
      <c r="C42" s="2" t="s">
        <v>77</v>
      </c>
      <c r="D42" s="2" t="s">
        <v>308</v>
      </c>
      <c r="E42" s="16">
        <v>0</v>
      </c>
      <c r="F42" s="1">
        <v>20</v>
      </c>
      <c r="G42" s="1">
        <v>0</v>
      </c>
      <c r="H42" s="8">
        <f t="shared" si="2"/>
        <v>20</v>
      </c>
      <c r="I42" s="1">
        <v>10</v>
      </c>
      <c r="J42" s="1">
        <v>0</v>
      </c>
      <c r="K42" s="1">
        <v>0</v>
      </c>
      <c r="L42" s="8">
        <f t="shared" si="0"/>
        <v>10</v>
      </c>
      <c r="M42" s="6"/>
      <c r="N42" s="27">
        <f t="shared" si="1"/>
        <v>30</v>
      </c>
      <c r="O42" s="21">
        <v>12</v>
      </c>
      <c r="P42" s="21"/>
      <c r="Q42" s="29">
        <f t="shared" si="4"/>
        <v>12</v>
      </c>
      <c r="R42" s="21"/>
    </row>
    <row r="43" spans="1:18">
      <c r="A43" s="2">
        <v>45</v>
      </c>
      <c r="B43" s="2" t="s">
        <v>78</v>
      </c>
      <c r="C43" s="2" t="s">
        <v>79</v>
      </c>
      <c r="D43" s="2" t="s">
        <v>319</v>
      </c>
      <c r="E43" s="16">
        <v>0</v>
      </c>
      <c r="F43" s="1">
        <v>30</v>
      </c>
      <c r="G43" s="1">
        <v>0</v>
      </c>
      <c r="H43" s="8">
        <f>E43+F43-G43+4</f>
        <v>34</v>
      </c>
      <c r="I43" s="1">
        <v>23</v>
      </c>
      <c r="J43" s="1">
        <v>10</v>
      </c>
      <c r="K43" s="1">
        <v>0</v>
      </c>
      <c r="L43" s="8">
        <f t="shared" si="0"/>
        <v>33</v>
      </c>
      <c r="M43" s="6"/>
      <c r="N43" s="27">
        <f t="shared" si="1"/>
        <v>67</v>
      </c>
      <c r="O43" s="1">
        <v>12</v>
      </c>
      <c r="P43" s="1"/>
      <c r="Q43" s="7">
        <f t="shared" si="4"/>
        <v>12</v>
      </c>
      <c r="R43" s="1"/>
    </row>
    <row r="44" spans="1:18">
      <c r="A44" s="2">
        <v>46</v>
      </c>
      <c r="B44" s="2" t="s">
        <v>80</v>
      </c>
      <c r="C44" s="2" t="s">
        <v>81</v>
      </c>
      <c r="D44" s="2" t="s">
        <v>302</v>
      </c>
      <c r="E44" s="16">
        <v>0</v>
      </c>
      <c r="F44" s="1">
        <v>15</v>
      </c>
      <c r="G44" s="1">
        <v>0</v>
      </c>
      <c r="H44" s="8">
        <f t="shared" si="2"/>
        <v>15</v>
      </c>
      <c r="I44" s="1">
        <v>0</v>
      </c>
      <c r="J44" s="1">
        <v>0</v>
      </c>
      <c r="K44" s="1">
        <v>0</v>
      </c>
      <c r="L44" s="8">
        <f t="shared" si="0"/>
        <v>0</v>
      </c>
      <c r="M44" s="6"/>
      <c r="N44" s="27">
        <f t="shared" si="1"/>
        <v>15</v>
      </c>
      <c r="O44" s="1">
        <v>12</v>
      </c>
      <c r="P44" s="1"/>
      <c r="Q44" s="7">
        <f t="shared" si="4"/>
        <v>12</v>
      </c>
      <c r="R44" s="1"/>
    </row>
    <row r="45" spans="1:18">
      <c r="A45" s="2">
        <v>47</v>
      </c>
      <c r="B45" s="10" t="s">
        <v>82</v>
      </c>
      <c r="C45" s="2" t="s">
        <v>83</v>
      </c>
      <c r="D45" s="2" t="s">
        <v>302</v>
      </c>
      <c r="E45" s="16">
        <v>0</v>
      </c>
      <c r="F45" s="1">
        <v>15</v>
      </c>
      <c r="G45" s="1">
        <v>0</v>
      </c>
      <c r="H45" s="8">
        <f t="shared" si="2"/>
        <v>15</v>
      </c>
      <c r="I45" s="1">
        <v>0</v>
      </c>
      <c r="J45" s="1">
        <v>0</v>
      </c>
      <c r="K45" s="1">
        <v>0</v>
      </c>
      <c r="L45" s="8">
        <f t="shared" si="0"/>
        <v>0</v>
      </c>
      <c r="M45" s="6"/>
      <c r="N45" s="27">
        <f t="shared" si="1"/>
        <v>15</v>
      </c>
      <c r="O45" s="1">
        <v>12</v>
      </c>
      <c r="P45" s="1"/>
      <c r="Q45" s="7">
        <f t="shared" si="4"/>
        <v>12</v>
      </c>
      <c r="R45" s="1"/>
    </row>
    <row r="46" spans="1:18">
      <c r="A46" s="2">
        <v>48</v>
      </c>
      <c r="B46" s="10" t="s">
        <v>84</v>
      </c>
      <c r="C46" s="2" t="s">
        <v>85</v>
      </c>
      <c r="D46" s="2" t="s">
        <v>317</v>
      </c>
      <c r="E46" s="16">
        <v>0</v>
      </c>
      <c r="F46" s="1">
        <v>20</v>
      </c>
      <c r="G46" s="1">
        <v>0</v>
      </c>
      <c r="H46" s="8">
        <f t="shared" si="2"/>
        <v>20</v>
      </c>
      <c r="I46" s="1">
        <v>10</v>
      </c>
      <c r="J46" s="1">
        <v>10</v>
      </c>
      <c r="K46" s="1">
        <v>0</v>
      </c>
      <c r="L46" s="8">
        <f t="shared" si="0"/>
        <v>20</v>
      </c>
      <c r="M46" s="6"/>
      <c r="N46" s="27">
        <f t="shared" si="1"/>
        <v>40</v>
      </c>
      <c r="O46" s="1">
        <v>12</v>
      </c>
      <c r="P46" s="1">
        <v>0</v>
      </c>
      <c r="Q46" s="7"/>
      <c r="R46" s="1"/>
    </row>
    <row r="47" spans="1:18">
      <c r="A47" s="2">
        <v>49</v>
      </c>
      <c r="B47" s="2" t="s">
        <v>86</v>
      </c>
      <c r="C47" s="2" t="s">
        <v>87</v>
      </c>
      <c r="D47" s="2" t="s">
        <v>307</v>
      </c>
      <c r="E47" s="16">
        <v>0</v>
      </c>
      <c r="F47" s="1">
        <v>15</v>
      </c>
      <c r="G47" s="1">
        <v>0</v>
      </c>
      <c r="H47" s="8">
        <f t="shared" si="2"/>
        <v>15</v>
      </c>
      <c r="I47" s="1">
        <v>0</v>
      </c>
      <c r="J47" s="1">
        <v>0</v>
      </c>
      <c r="K47" s="1">
        <v>0</v>
      </c>
      <c r="L47" s="8">
        <f t="shared" ref="L47:L92" si="5">I47+J47-K47</f>
        <v>0</v>
      </c>
      <c r="M47" s="6"/>
      <c r="N47" s="27">
        <f t="shared" si="1"/>
        <v>15</v>
      </c>
      <c r="O47" s="1">
        <v>12</v>
      </c>
      <c r="P47" s="1">
        <v>0</v>
      </c>
      <c r="Q47" s="7">
        <f t="shared" ref="Q47:Q93" si="6">O47-P47</f>
        <v>12</v>
      </c>
      <c r="R47" s="1"/>
    </row>
    <row r="48" spans="1:18" ht="25.5">
      <c r="A48" s="2">
        <v>50</v>
      </c>
      <c r="B48" s="2" t="s">
        <v>88</v>
      </c>
      <c r="C48" s="2" t="s">
        <v>89</v>
      </c>
      <c r="D48" s="2" t="s">
        <v>320</v>
      </c>
      <c r="E48" s="16">
        <v>0</v>
      </c>
      <c r="F48" s="1">
        <v>15</v>
      </c>
      <c r="G48" s="1">
        <v>0</v>
      </c>
      <c r="H48" s="8">
        <f t="shared" si="2"/>
        <v>15</v>
      </c>
      <c r="I48" s="1">
        <v>0</v>
      </c>
      <c r="J48" s="1">
        <v>0</v>
      </c>
      <c r="K48" s="1">
        <v>0</v>
      </c>
      <c r="L48" s="8">
        <f t="shared" si="5"/>
        <v>0</v>
      </c>
      <c r="M48" s="6"/>
      <c r="N48" s="27">
        <f t="shared" si="1"/>
        <v>15</v>
      </c>
      <c r="O48" s="1">
        <v>12</v>
      </c>
      <c r="P48" s="1"/>
      <c r="Q48" s="7">
        <f t="shared" si="6"/>
        <v>12</v>
      </c>
      <c r="R48" s="1"/>
    </row>
    <row r="49" spans="1:18" ht="25.5">
      <c r="A49" s="2">
        <v>51</v>
      </c>
      <c r="B49" s="13" t="s">
        <v>90</v>
      </c>
      <c r="C49" s="2" t="s">
        <v>91</v>
      </c>
      <c r="D49" s="2" t="s">
        <v>321</v>
      </c>
      <c r="E49" s="16">
        <v>0</v>
      </c>
      <c r="F49" s="1">
        <v>15</v>
      </c>
      <c r="G49" s="1">
        <v>0</v>
      </c>
      <c r="H49" s="8">
        <f t="shared" si="2"/>
        <v>15</v>
      </c>
      <c r="I49" s="1">
        <v>0</v>
      </c>
      <c r="J49" s="1">
        <v>0</v>
      </c>
      <c r="K49" s="1">
        <v>0</v>
      </c>
      <c r="L49" s="8">
        <f t="shared" si="5"/>
        <v>0</v>
      </c>
      <c r="M49" s="6"/>
      <c r="N49" s="27">
        <f t="shared" si="1"/>
        <v>15</v>
      </c>
      <c r="O49" s="1">
        <v>12</v>
      </c>
      <c r="P49" s="1"/>
      <c r="Q49" s="7">
        <f t="shared" si="6"/>
        <v>12</v>
      </c>
      <c r="R49" s="1"/>
    </row>
    <row r="50" spans="1:18" ht="25.5">
      <c r="A50" s="2">
        <v>52</v>
      </c>
      <c r="B50" s="13" t="s">
        <v>92</v>
      </c>
      <c r="C50" s="2" t="s">
        <v>93</v>
      </c>
      <c r="D50" s="2" t="s">
        <v>307</v>
      </c>
      <c r="E50" s="16">
        <v>0</v>
      </c>
      <c r="F50" s="1">
        <v>15</v>
      </c>
      <c r="G50" s="1">
        <v>0</v>
      </c>
      <c r="H50" s="8">
        <f t="shared" si="2"/>
        <v>15</v>
      </c>
      <c r="I50" s="1">
        <v>0</v>
      </c>
      <c r="J50" s="1"/>
      <c r="K50" s="1">
        <v>0</v>
      </c>
      <c r="L50" s="8">
        <f t="shared" si="5"/>
        <v>0</v>
      </c>
      <c r="M50" s="6"/>
      <c r="N50" s="27">
        <f t="shared" si="1"/>
        <v>15</v>
      </c>
      <c r="O50" s="1">
        <v>12</v>
      </c>
      <c r="P50" s="1"/>
      <c r="Q50" s="7">
        <f t="shared" si="6"/>
        <v>12</v>
      </c>
      <c r="R50" s="9"/>
    </row>
    <row r="51" spans="1:18" ht="25.5">
      <c r="A51" s="2">
        <v>53</v>
      </c>
      <c r="B51" s="13" t="s">
        <v>94</v>
      </c>
      <c r="C51" s="2" t="s">
        <v>95</v>
      </c>
      <c r="D51" s="2" t="s">
        <v>322</v>
      </c>
      <c r="E51" s="16">
        <v>0</v>
      </c>
      <c r="F51" s="1">
        <v>16</v>
      </c>
      <c r="G51" s="1">
        <v>0</v>
      </c>
      <c r="H51" s="8">
        <f t="shared" si="2"/>
        <v>16</v>
      </c>
      <c r="I51" s="1">
        <v>3</v>
      </c>
      <c r="J51" s="1">
        <v>10</v>
      </c>
      <c r="K51" s="1">
        <v>0</v>
      </c>
      <c r="L51" s="8">
        <f t="shared" si="5"/>
        <v>13</v>
      </c>
      <c r="M51" s="6"/>
      <c r="N51" s="27">
        <f t="shared" si="1"/>
        <v>29</v>
      </c>
      <c r="O51" s="1">
        <v>12</v>
      </c>
      <c r="P51" s="1"/>
      <c r="Q51" s="7">
        <f t="shared" si="6"/>
        <v>12</v>
      </c>
      <c r="R51" s="1"/>
    </row>
    <row r="52" spans="1:18">
      <c r="A52" s="2">
        <v>54</v>
      </c>
      <c r="B52" s="2" t="s">
        <v>96</v>
      </c>
      <c r="C52" s="2" t="s">
        <v>97</v>
      </c>
      <c r="D52" s="2" t="s">
        <v>311</v>
      </c>
      <c r="E52" s="16">
        <v>0</v>
      </c>
      <c r="F52" s="1">
        <v>15</v>
      </c>
      <c r="G52" s="1">
        <v>0</v>
      </c>
      <c r="H52" s="8">
        <f t="shared" si="2"/>
        <v>15</v>
      </c>
      <c r="I52" s="1">
        <v>0</v>
      </c>
      <c r="J52" s="1">
        <v>10</v>
      </c>
      <c r="K52" s="1">
        <v>0</v>
      </c>
      <c r="L52" s="8">
        <f t="shared" si="5"/>
        <v>10</v>
      </c>
      <c r="M52" s="6"/>
      <c r="N52" s="27">
        <f t="shared" si="1"/>
        <v>25</v>
      </c>
      <c r="O52" s="1">
        <v>12</v>
      </c>
      <c r="P52" s="1"/>
      <c r="Q52" s="7">
        <f t="shared" si="6"/>
        <v>12</v>
      </c>
      <c r="R52" s="1"/>
    </row>
    <row r="53" spans="1:18">
      <c r="A53" s="2">
        <v>55</v>
      </c>
      <c r="B53" s="2" t="s">
        <v>98</v>
      </c>
      <c r="C53" s="2" t="s">
        <v>99</v>
      </c>
      <c r="D53" s="2" t="s">
        <v>323</v>
      </c>
      <c r="E53" s="16">
        <v>0</v>
      </c>
      <c r="F53" s="1">
        <f>20</f>
        <v>20</v>
      </c>
      <c r="G53" s="1">
        <v>0</v>
      </c>
      <c r="H53" s="8">
        <f t="shared" si="2"/>
        <v>20</v>
      </c>
      <c r="I53" s="1">
        <v>0</v>
      </c>
      <c r="J53" s="1">
        <v>0</v>
      </c>
      <c r="K53" s="1">
        <v>0</v>
      </c>
      <c r="L53" s="8">
        <f t="shared" si="5"/>
        <v>0</v>
      </c>
      <c r="M53" s="6"/>
      <c r="N53" s="27">
        <f t="shared" si="1"/>
        <v>20</v>
      </c>
      <c r="O53" s="1">
        <v>12</v>
      </c>
      <c r="P53" s="1"/>
      <c r="Q53" s="7">
        <f t="shared" si="6"/>
        <v>12</v>
      </c>
      <c r="R53" s="1"/>
    </row>
    <row r="54" spans="1:18">
      <c r="A54" s="2">
        <v>56</v>
      </c>
      <c r="B54" s="13" t="s">
        <v>100</v>
      </c>
      <c r="C54" s="2" t="s">
        <v>101</v>
      </c>
      <c r="D54" s="2" t="s">
        <v>323</v>
      </c>
      <c r="E54" s="16">
        <v>0</v>
      </c>
      <c r="F54" s="1">
        <v>15</v>
      </c>
      <c r="G54" s="1">
        <v>0</v>
      </c>
      <c r="H54" s="8">
        <f t="shared" si="2"/>
        <v>15</v>
      </c>
      <c r="I54" s="1">
        <v>0</v>
      </c>
      <c r="J54" s="1">
        <v>10</v>
      </c>
      <c r="K54" s="1">
        <v>0</v>
      </c>
      <c r="L54" s="8">
        <f t="shared" si="5"/>
        <v>10</v>
      </c>
      <c r="M54" s="6"/>
      <c r="N54" s="27">
        <f t="shared" si="1"/>
        <v>25</v>
      </c>
      <c r="O54" s="1">
        <v>12</v>
      </c>
      <c r="P54" s="1"/>
      <c r="Q54" s="7">
        <f t="shared" si="6"/>
        <v>12</v>
      </c>
      <c r="R54" s="1"/>
    </row>
    <row r="55" spans="1:18" ht="25.5">
      <c r="A55" s="2">
        <v>57</v>
      </c>
      <c r="B55" s="2" t="s">
        <v>102</v>
      </c>
      <c r="C55" s="2" t="s">
        <v>103</v>
      </c>
      <c r="D55" s="2" t="s">
        <v>324</v>
      </c>
      <c r="E55" s="16">
        <v>0</v>
      </c>
      <c r="F55" s="1">
        <v>15</v>
      </c>
      <c r="G55" s="1">
        <v>0</v>
      </c>
      <c r="H55" s="8">
        <f t="shared" si="2"/>
        <v>15</v>
      </c>
      <c r="I55" s="1">
        <v>0</v>
      </c>
      <c r="J55" s="1"/>
      <c r="K55" s="1">
        <v>0</v>
      </c>
      <c r="L55" s="8">
        <f t="shared" si="5"/>
        <v>0</v>
      </c>
      <c r="M55" s="6"/>
      <c r="N55" s="27">
        <f t="shared" si="1"/>
        <v>15</v>
      </c>
      <c r="O55" s="1">
        <v>12</v>
      </c>
      <c r="P55" s="1"/>
      <c r="Q55" s="7">
        <f t="shared" si="6"/>
        <v>12</v>
      </c>
      <c r="R55" s="1"/>
    </row>
    <row r="56" spans="1:18">
      <c r="A56" s="2">
        <v>58</v>
      </c>
      <c r="B56" s="2" t="s">
        <v>104</v>
      </c>
      <c r="C56" s="2" t="s">
        <v>105</v>
      </c>
      <c r="D56" s="2" t="s">
        <v>311</v>
      </c>
      <c r="E56" s="16">
        <v>0</v>
      </c>
      <c r="F56" s="1">
        <v>15</v>
      </c>
      <c r="G56" s="1">
        <v>0</v>
      </c>
      <c r="H56" s="8">
        <f t="shared" si="2"/>
        <v>15</v>
      </c>
      <c r="I56" s="1">
        <v>9</v>
      </c>
      <c r="J56" s="1">
        <v>11</v>
      </c>
      <c r="K56" s="1">
        <v>0</v>
      </c>
      <c r="L56" s="8">
        <f t="shared" si="5"/>
        <v>20</v>
      </c>
      <c r="M56" s="6"/>
      <c r="N56" s="27">
        <f t="shared" si="1"/>
        <v>35</v>
      </c>
      <c r="O56" s="1">
        <v>12</v>
      </c>
      <c r="P56" s="1"/>
      <c r="Q56" s="7">
        <f t="shared" si="6"/>
        <v>12</v>
      </c>
      <c r="R56" s="1"/>
    </row>
    <row r="57" spans="1:18" ht="25.5">
      <c r="A57" s="2">
        <v>59</v>
      </c>
      <c r="B57" s="2" t="s">
        <v>106</v>
      </c>
      <c r="C57" s="2" t="s">
        <v>107</v>
      </c>
      <c r="D57" s="2" t="s">
        <v>325</v>
      </c>
      <c r="E57" s="16">
        <v>0</v>
      </c>
      <c r="F57" s="1">
        <f>25</f>
        <v>25</v>
      </c>
      <c r="G57" s="1">
        <v>0</v>
      </c>
      <c r="H57" s="8">
        <f t="shared" si="2"/>
        <v>25</v>
      </c>
      <c r="I57" s="1">
        <v>14</v>
      </c>
      <c r="J57" s="1">
        <v>10</v>
      </c>
      <c r="K57" s="1">
        <v>0</v>
      </c>
      <c r="L57" s="8">
        <f t="shared" si="5"/>
        <v>24</v>
      </c>
      <c r="M57" s="6"/>
      <c r="N57" s="27">
        <f t="shared" si="1"/>
        <v>49</v>
      </c>
      <c r="O57" s="1">
        <v>12</v>
      </c>
      <c r="P57" s="1"/>
      <c r="Q57" s="7">
        <f t="shared" si="6"/>
        <v>12</v>
      </c>
      <c r="R57" s="1"/>
    </row>
    <row r="58" spans="1:18" ht="25.5">
      <c r="A58" s="2">
        <v>60</v>
      </c>
      <c r="B58" s="13" t="s">
        <v>108</v>
      </c>
      <c r="C58" s="2" t="s">
        <v>109</v>
      </c>
      <c r="D58" s="2" t="s">
        <v>307</v>
      </c>
      <c r="E58" s="16">
        <v>0</v>
      </c>
      <c r="F58" s="1">
        <v>15</v>
      </c>
      <c r="G58" s="1">
        <v>0</v>
      </c>
      <c r="H58" s="8">
        <f t="shared" si="2"/>
        <v>15</v>
      </c>
      <c r="I58" s="1">
        <v>14</v>
      </c>
      <c r="J58" s="1">
        <v>5</v>
      </c>
      <c r="K58" s="1">
        <v>0</v>
      </c>
      <c r="L58" s="8">
        <f t="shared" si="5"/>
        <v>19</v>
      </c>
      <c r="M58" s="6"/>
      <c r="N58" s="27">
        <f t="shared" si="1"/>
        <v>34</v>
      </c>
      <c r="O58" s="1">
        <v>12</v>
      </c>
      <c r="P58" s="30"/>
      <c r="Q58" s="7">
        <f t="shared" si="6"/>
        <v>12</v>
      </c>
      <c r="R58" s="30"/>
    </row>
    <row r="59" spans="1:18">
      <c r="A59" s="2">
        <v>61</v>
      </c>
      <c r="B59" s="2" t="s">
        <v>110</v>
      </c>
      <c r="C59" s="2" t="s">
        <v>111</v>
      </c>
      <c r="D59" s="2" t="s">
        <v>307</v>
      </c>
      <c r="E59" s="16">
        <v>0</v>
      </c>
      <c r="F59" s="1">
        <v>17</v>
      </c>
      <c r="G59" s="1">
        <v>0</v>
      </c>
      <c r="H59" s="8">
        <f t="shared" si="2"/>
        <v>17</v>
      </c>
      <c r="I59" s="1">
        <v>9</v>
      </c>
      <c r="J59" s="1">
        <v>4</v>
      </c>
      <c r="K59" s="1">
        <v>0</v>
      </c>
      <c r="L59" s="8">
        <f t="shared" si="5"/>
        <v>13</v>
      </c>
      <c r="M59" s="6"/>
      <c r="N59" s="27">
        <f t="shared" si="1"/>
        <v>30</v>
      </c>
      <c r="O59" s="1">
        <v>12</v>
      </c>
      <c r="P59" s="1"/>
      <c r="Q59" s="7">
        <f t="shared" si="6"/>
        <v>12</v>
      </c>
      <c r="R59" s="1"/>
    </row>
    <row r="60" spans="1:18">
      <c r="A60" s="2">
        <v>62</v>
      </c>
      <c r="B60" s="2" t="s">
        <v>112</v>
      </c>
      <c r="C60" s="2" t="s">
        <v>113</v>
      </c>
      <c r="D60" s="2" t="s">
        <v>301</v>
      </c>
      <c r="E60" s="16">
        <v>0</v>
      </c>
      <c r="F60" s="1">
        <f>15</f>
        <v>15</v>
      </c>
      <c r="G60" s="1">
        <v>0</v>
      </c>
      <c r="H60" s="8">
        <f t="shared" si="2"/>
        <v>15</v>
      </c>
      <c r="I60" s="1">
        <v>0</v>
      </c>
      <c r="J60" s="1">
        <v>10</v>
      </c>
      <c r="K60" s="1">
        <v>0</v>
      </c>
      <c r="L60" s="8">
        <f t="shared" si="5"/>
        <v>10</v>
      </c>
      <c r="M60" s="6"/>
      <c r="N60" s="27">
        <f t="shared" si="1"/>
        <v>25</v>
      </c>
      <c r="O60" s="1">
        <v>12</v>
      </c>
      <c r="P60" s="1"/>
      <c r="Q60" s="7">
        <f t="shared" si="6"/>
        <v>12</v>
      </c>
      <c r="R60" s="1"/>
    </row>
    <row r="61" spans="1:18" ht="25.5">
      <c r="A61" s="2">
        <v>63</v>
      </c>
      <c r="B61" s="2" t="s">
        <v>114</v>
      </c>
      <c r="C61" s="2" t="s">
        <v>115</v>
      </c>
      <c r="D61" s="2" t="s">
        <v>307</v>
      </c>
      <c r="E61" s="16">
        <v>0</v>
      </c>
      <c r="F61" s="1">
        <f>15</f>
        <v>15</v>
      </c>
      <c r="G61" s="1">
        <v>0</v>
      </c>
      <c r="H61" s="8">
        <f t="shared" si="2"/>
        <v>15</v>
      </c>
      <c r="I61" s="1">
        <v>0</v>
      </c>
      <c r="J61" s="1">
        <v>0</v>
      </c>
      <c r="K61" s="1">
        <v>0</v>
      </c>
      <c r="L61" s="8">
        <f t="shared" si="5"/>
        <v>0</v>
      </c>
      <c r="M61" s="6"/>
      <c r="N61" s="27">
        <f ca="1">N61=H61+L61</f>
        <v>0</v>
      </c>
      <c r="O61" s="1">
        <v>12</v>
      </c>
      <c r="P61" s="1"/>
      <c r="Q61" s="7">
        <f t="shared" si="6"/>
        <v>12</v>
      </c>
      <c r="R61" s="1"/>
    </row>
    <row r="62" spans="1:18">
      <c r="A62" s="2">
        <v>64</v>
      </c>
      <c r="B62" s="2" t="s">
        <v>116</v>
      </c>
      <c r="C62" s="2" t="s">
        <v>117</v>
      </c>
      <c r="D62" s="2" t="s">
        <v>317</v>
      </c>
      <c r="E62" s="16">
        <v>0</v>
      </c>
      <c r="F62" s="1">
        <f>20</f>
        <v>20</v>
      </c>
      <c r="G62" s="1">
        <v>0</v>
      </c>
      <c r="H62" s="8">
        <f t="shared" si="2"/>
        <v>20</v>
      </c>
      <c r="I62" s="1">
        <v>0</v>
      </c>
      <c r="J62" s="1">
        <v>10</v>
      </c>
      <c r="K62" s="1">
        <v>0</v>
      </c>
      <c r="L62" s="8">
        <f t="shared" si="5"/>
        <v>10</v>
      </c>
      <c r="M62" s="6"/>
      <c r="N62" s="27">
        <f t="shared" ref="N62:N93" si="7">H62+L62</f>
        <v>30</v>
      </c>
      <c r="O62" s="1">
        <v>12</v>
      </c>
      <c r="P62" s="1">
        <v>1</v>
      </c>
      <c r="Q62" s="7">
        <f t="shared" si="6"/>
        <v>11</v>
      </c>
      <c r="R62" s="36" t="s">
        <v>211</v>
      </c>
    </row>
    <row r="63" spans="1:18" ht="25.5">
      <c r="A63" s="2">
        <v>65</v>
      </c>
      <c r="B63" s="13" t="s">
        <v>118</v>
      </c>
      <c r="C63" s="2" t="s">
        <v>119</v>
      </c>
      <c r="D63" s="2" t="s">
        <v>326</v>
      </c>
      <c r="E63" s="16">
        <v>0</v>
      </c>
      <c r="F63" s="1">
        <v>15</v>
      </c>
      <c r="G63" s="1">
        <v>0</v>
      </c>
      <c r="H63" s="8">
        <f t="shared" si="2"/>
        <v>15</v>
      </c>
      <c r="I63" s="1">
        <v>0</v>
      </c>
      <c r="J63" s="1">
        <v>0</v>
      </c>
      <c r="K63" s="1">
        <v>0</v>
      </c>
      <c r="L63" s="8">
        <f t="shared" si="5"/>
        <v>0</v>
      </c>
      <c r="M63" s="6"/>
      <c r="N63" s="27">
        <f t="shared" si="7"/>
        <v>15</v>
      </c>
      <c r="O63" s="1">
        <v>12</v>
      </c>
      <c r="P63" s="1"/>
      <c r="Q63" s="7">
        <f t="shared" si="6"/>
        <v>12</v>
      </c>
      <c r="R63" s="1"/>
    </row>
    <row r="64" spans="1:18">
      <c r="A64" s="2">
        <v>66</v>
      </c>
      <c r="B64" s="13" t="s">
        <v>120</v>
      </c>
      <c r="C64" s="2" t="s">
        <v>121</v>
      </c>
      <c r="D64" s="2" t="s">
        <v>327</v>
      </c>
      <c r="E64" s="16">
        <v>0</v>
      </c>
      <c r="F64" s="1">
        <v>15</v>
      </c>
      <c r="G64" s="1">
        <v>0</v>
      </c>
      <c r="H64" s="8">
        <f t="shared" si="2"/>
        <v>15</v>
      </c>
      <c r="I64" s="1">
        <v>0</v>
      </c>
      <c r="J64" s="1">
        <v>0</v>
      </c>
      <c r="K64" s="1">
        <v>0</v>
      </c>
      <c r="L64" s="8">
        <f t="shared" si="5"/>
        <v>0</v>
      </c>
      <c r="M64" s="6"/>
      <c r="N64" s="27">
        <f t="shared" si="7"/>
        <v>15</v>
      </c>
      <c r="O64" s="1">
        <v>12</v>
      </c>
      <c r="P64" s="1"/>
      <c r="Q64" s="7">
        <f t="shared" si="6"/>
        <v>12</v>
      </c>
      <c r="R64" s="1"/>
    </row>
    <row r="65" spans="1:18">
      <c r="A65" s="2">
        <v>67</v>
      </c>
      <c r="B65" s="2" t="s">
        <v>122</v>
      </c>
      <c r="C65" s="2" t="s">
        <v>123</v>
      </c>
      <c r="D65" s="2" t="s">
        <v>297</v>
      </c>
      <c r="E65" s="16">
        <v>0</v>
      </c>
      <c r="F65" s="1">
        <f>15</f>
        <v>15</v>
      </c>
      <c r="G65" s="1">
        <v>0</v>
      </c>
      <c r="H65" s="8">
        <f t="shared" si="2"/>
        <v>15</v>
      </c>
      <c r="I65" s="1">
        <v>25</v>
      </c>
      <c r="J65" s="1">
        <v>0</v>
      </c>
      <c r="K65" s="1">
        <v>0</v>
      </c>
      <c r="L65" s="8">
        <f t="shared" si="5"/>
        <v>25</v>
      </c>
      <c r="M65" s="6"/>
      <c r="N65" s="27">
        <f t="shared" si="7"/>
        <v>40</v>
      </c>
      <c r="O65" s="1">
        <v>12</v>
      </c>
      <c r="P65" s="1"/>
      <c r="Q65" s="7">
        <f t="shared" si="6"/>
        <v>12</v>
      </c>
      <c r="R65" s="17"/>
    </row>
    <row r="66" spans="1:18" ht="25.5">
      <c r="A66" s="2">
        <v>68</v>
      </c>
      <c r="B66" s="2" t="s">
        <v>124</v>
      </c>
      <c r="C66" s="2" t="s">
        <v>125</v>
      </c>
      <c r="D66" s="2" t="s">
        <v>313</v>
      </c>
      <c r="E66" s="16">
        <v>0</v>
      </c>
      <c r="F66" s="1">
        <f>15</f>
        <v>15</v>
      </c>
      <c r="G66" s="1">
        <v>0</v>
      </c>
      <c r="H66" s="8">
        <f t="shared" si="2"/>
        <v>15</v>
      </c>
      <c r="I66" s="1">
        <v>0</v>
      </c>
      <c r="J66" s="1">
        <v>10</v>
      </c>
      <c r="K66" s="1">
        <v>0</v>
      </c>
      <c r="L66" s="8">
        <f t="shared" si="5"/>
        <v>10</v>
      </c>
      <c r="M66" s="6"/>
      <c r="N66" s="27">
        <f t="shared" si="7"/>
        <v>25</v>
      </c>
      <c r="O66" s="1">
        <v>12</v>
      </c>
      <c r="P66" s="1"/>
      <c r="Q66" s="7">
        <f t="shared" si="6"/>
        <v>12</v>
      </c>
      <c r="R66" s="1"/>
    </row>
    <row r="67" spans="1:18" ht="25.5">
      <c r="A67" s="2">
        <v>69</v>
      </c>
      <c r="B67" s="2" t="s">
        <v>126</v>
      </c>
      <c r="C67" s="2" t="s">
        <v>127</v>
      </c>
      <c r="D67" s="2" t="s">
        <v>301</v>
      </c>
      <c r="E67" s="16">
        <v>0</v>
      </c>
      <c r="F67" s="1">
        <v>15</v>
      </c>
      <c r="G67" s="1">
        <v>0</v>
      </c>
      <c r="H67" s="8">
        <f t="shared" si="2"/>
        <v>15</v>
      </c>
      <c r="I67" s="1">
        <v>0</v>
      </c>
      <c r="J67" s="1">
        <v>10</v>
      </c>
      <c r="K67" s="1">
        <v>0</v>
      </c>
      <c r="L67" s="8">
        <f t="shared" si="5"/>
        <v>10</v>
      </c>
      <c r="M67" s="6"/>
      <c r="N67" s="27">
        <f t="shared" si="7"/>
        <v>25</v>
      </c>
      <c r="O67" s="1">
        <v>12</v>
      </c>
      <c r="P67" s="1"/>
      <c r="Q67" s="7">
        <f t="shared" si="6"/>
        <v>12</v>
      </c>
      <c r="R67" s="1"/>
    </row>
    <row r="68" spans="1:18">
      <c r="A68" s="2">
        <v>70</v>
      </c>
      <c r="B68" s="2" t="s">
        <v>128</v>
      </c>
      <c r="C68" s="2" t="s">
        <v>129</v>
      </c>
      <c r="D68" s="2" t="s">
        <v>328</v>
      </c>
      <c r="E68" s="16">
        <v>0</v>
      </c>
      <c r="F68" s="1">
        <v>30</v>
      </c>
      <c r="G68" s="1">
        <v>0</v>
      </c>
      <c r="H68" s="8">
        <f t="shared" ref="H68:H92" si="8">E68+F68-G68</f>
        <v>30</v>
      </c>
      <c r="I68" s="1">
        <v>30</v>
      </c>
      <c r="J68" s="1">
        <v>10</v>
      </c>
      <c r="K68" s="1">
        <v>0</v>
      </c>
      <c r="L68" s="8">
        <f t="shared" si="5"/>
        <v>40</v>
      </c>
      <c r="M68" s="6"/>
      <c r="N68" s="27">
        <f t="shared" si="7"/>
        <v>70</v>
      </c>
      <c r="O68" s="1">
        <v>12</v>
      </c>
      <c r="P68" s="1"/>
      <c r="Q68" s="7">
        <f t="shared" si="6"/>
        <v>12</v>
      </c>
      <c r="R68" s="1"/>
    </row>
    <row r="69" spans="1:18">
      <c r="A69" s="2">
        <v>71</v>
      </c>
      <c r="B69" s="2" t="s">
        <v>130</v>
      </c>
      <c r="C69" s="2" t="s">
        <v>131</v>
      </c>
      <c r="D69" s="2" t="s">
        <v>301</v>
      </c>
      <c r="E69" s="16">
        <v>0</v>
      </c>
      <c r="F69" s="1">
        <v>15</v>
      </c>
      <c r="G69" s="1">
        <v>0</v>
      </c>
      <c r="H69" s="8">
        <f t="shared" si="8"/>
        <v>15</v>
      </c>
      <c r="I69" s="1">
        <v>0</v>
      </c>
      <c r="J69" s="1">
        <v>10</v>
      </c>
      <c r="K69" s="1">
        <v>0</v>
      </c>
      <c r="L69" s="8">
        <f t="shared" si="5"/>
        <v>10</v>
      </c>
      <c r="M69" s="6"/>
      <c r="N69" s="27">
        <f t="shared" si="7"/>
        <v>25</v>
      </c>
      <c r="O69" s="1">
        <v>12</v>
      </c>
      <c r="P69" s="1"/>
      <c r="Q69" s="7">
        <f t="shared" si="6"/>
        <v>12</v>
      </c>
      <c r="R69" s="1"/>
    </row>
    <row r="70" spans="1:18">
      <c r="A70" s="2">
        <v>72</v>
      </c>
      <c r="B70" s="2" t="s">
        <v>130</v>
      </c>
      <c r="C70" s="2" t="s">
        <v>132</v>
      </c>
      <c r="D70" s="2" t="s">
        <v>310</v>
      </c>
      <c r="E70" s="16">
        <v>0</v>
      </c>
      <c r="F70" s="1">
        <v>15</v>
      </c>
      <c r="G70" s="1">
        <v>0</v>
      </c>
      <c r="H70" s="8">
        <f t="shared" si="8"/>
        <v>15</v>
      </c>
      <c r="I70" s="1">
        <v>0</v>
      </c>
      <c r="J70" s="1"/>
      <c r="K70" s="1">
        <v>0</v>
      </c>
      <c r="L70" s="8">
        <f t="shared" si="5"/>
        <v>0</v>
      </c>
      <c r="M70" s="6"/>
      <c r="N70" s="27">
        <f t="shared" si="7"/>
        <v>15</v>
      </c>
      <c r="O70" s="1">
        <v>12</v>
      </c>
      <c r="P70" s="1"/>
      <c r="Q70" s="7">
        <f t="shared" si="6"/>
        <v>12</v>
      </c>
      <c r="R70" s="1"/>
    </row>
    <row r="71" spans="1:18">
      <c r="A71" s="2">
        <v>73</v>
      </c>
      <c r="B71" s="2" t="s">
        <v>133</v>
      </c>
      <c r="C71" s="2" t="s">
        <v>134</v>
      </c>
      <c r="D71" s="2" t="s">
        <v>294</v>
      </c>
      <c r="E71" s="16">
        <v>0</v>
      </c>
      <c r="F71" s="1">
        <v>21</v>
      </c>
      <c r="G71" s="1">
        <v>0</v>
      </c>
      <c r="H71" s="8">
        <f t="shared" si="8"/>
        <v>21</v>
      </c>
      <c r="I71" s="1">
        <v>0</v>
      </c>
      <c r="J71" s="1">
        <v>10</v>
      </c>
      <c r="K71" s="1">
        <v>0</v>
      </c>
      <c r="L71" s="8">
        <f t="shared" si="5"/>
        <v>10</v>
      </c>
      <c r="M71" s="6"/>
      <c r="N71" s="27">
        <f t="shared" si="7"/>
        <v>31</v>
      </c>
      <c r="O71" s="1">
        <v>12</v>
      </c>
      <c r="P71" s="1"/>
      <c r="Q71" s="7">
        <f t="shared" si="6"/>
        <v>12</v>
      </c>
      <c r="R71" s="1"/>
    </row>
    <row r="72" spans="1:18">
      <c r="A72" s="2">
        <v>75</v>
      </c>
      <c r="B72" s="20" t="s">
        <v>135</v>
      </c>
      <c r="C72" s="20" t="s">
        <v>136</v>
      </c>
      <c r="D72" s="20" t="s">
        <v>314</v>
      </c>
      <c r="E72" s="16">
        <v>0</v>
      </c>
      <c r="F72" s="18">
        <v>20</v>
      </c>
      <c r="G72" s="1">
        <v>0</v>
      </c>
      <c r="H72" s="8">
        <f t="shared" si="8"/>
        <v>20</v>
      </c>
      <c r="I72" s="18">
        <v>0</v>
      </c>
      <c r="J72" s="18">
        <v>10</v>
      </c>
      <c r="K72" s="1">
        <v>0</v>
      </c>
      <c r="L72" s="8">
        <f t="shared" si="5"/>
        <v>10</v>
      </c>
      <c r="M72" s="6"/>
      <c r="N72" s="27">
        <f t="shared" si="7"/>
        <v>30</v>
      </c>
      <c r="O72" s="18">
        <v>12</v>
      </c>
      <c r="P72" s="18"/>
      <c r="Q72" s="7">
        <f t="shared" si="6"/>
        <v>12</v>
      </c>
      <c r="R72" s="18"/>
    </row>
    <row r="73" spans="1:18">
      <c r="A73" s="2">
        <v>76</v>
      </c>
      <c r="B73" s="20" t="s">
        <v>137</v>
      </c>
      <c r="C73" s="20" t="s">
        <v>138</v>
      </c>
      <c r="D73" s="20" t="s">
        <v>312</v>
      </c>
      <c r="E73" s="16">
        <v>0</v>
      </c>
      <c r="F73" s="18">
        <v>15</v>
      </c>
      <c r="G73" s="1">
        <v>0</v>
      </c>
      <c r="H73" s="8">
        <f t="shared" si="8"/>
        <v>15</v>
      </c>
      <c r="I73" s="18">
        <v>0</v>
      </c>
      <c r="J73" s="18">
        <v>10</v>
      </c>
      <c r="K73" s="1">
        <v>0</v>
      </c>
      <c r="L73" s="8">
        <f t="shared" si="5"/>
        <v>10</v>
      </c>
      <c r="M73" s="6"/>
      <c r="N73" s="27">
        <f t="shared" si="7"/>
        <v>25</v>
      </c>
      <c r="O73" s="18">
        <v>12</v>
      </c>
      <c r="P73" s="18">
        <v>1</v>
      </c>
      <c r="Q73" s="7">
        <f t="shared" si="6"/>
        <v>11</v>
      </c>
      <c r="R73" s="18" t="s">
        <v>262</v>
      </c>
    </row>
    <row r="74" spans="1:18" ht="25.5">
      <c r="A74" s="2">
        <v>77</v>
      </c>
      <c r="B74" s="20" t="s">
        <v>139</v>
      </c>
      <c r="C74" s="20" t="s">
        <v>140</v>
      </c>
      <c r="D74" s="20" t="s">
        <v>294</v>
      </c>
      <c r="E74" s="16">
        <v>0</v>
      </c>
      <c r="F74" s="18">
        <v>20</v>
      </c>
      <c r="G74" s="1">
        <v>0</v>
      </c>
      <c r="H74" s="8">
        <f t="shared" si="8"/>
        <v>20</v>
      </c>
      <c r="I74" s="18">
        <v>0</v>
      </c>
      <c r="J74" s="18">
        <v>10</v>
      </c>
      <c r="K74" s="1">
        <v>0</v>
      </c>
      <c r="L74" s="8">
        <f t="shared" si="5"/>
        <v>10</v>
      </c>
      <c r="M74" s="6"/>
      <c r="N74" s="27">
        <f t="shared" si="7"/>
        <v>30</v>
      </c>
      <c r="O74" s="18">
        <v>12</v>
      </c>
      <c r="P74" s="18"/>
      <c r="Q74" s="7">
        <f t="shared" si="6"/>
        <v>12</v>
      </c>
      <c r="R74" s="18"/>
    </row>
    <row r="75" spans="1:18" ht="25.5">
      <c r="A75" s="2">
        <v>78</v>
      </c>
      <c r="B75" s="2" t="s">
        <v>141</v>
      </c>
      <c r="C75" s="2" t="s">
        <v>142</v>
      </c>
      <c r="D75" s="2" t="s">
        <v>311</v>
      </c>
      <c r="E75" s="16">
        <v>0</v>
      </c>
      <c r="F75" s="1">
        <v>15</v>
      </c>
      <c r="G75" s="1">
        <v>0</v>
      </c>
      <c r="H75" s="8">
        <f t="shared" si="8"/>
        <v>15</v>
      </c>
      <c r="I75" s="1">
        <v>0</v>
      </c>
      <c r="J75" s="1">
        <v>10</v>
      </c>
      <c r="K75" s="1">
        <v>0</v>
      </c>
      <c r="L75" s="8">
        <f t="shared" si="5"/>
        <v>10</v>
      </c>
      <c r="M75" s="6"/>
      <c r="N75" s="27">
        <f t="shared" si="7"/>
        <v>25</v>
      </c>
      <c r="O75" s="18">
        <v>12</v>
      </c>
      <c r="P75" s="1"/>
      <c r="Q75" s="7">
        <f t="shared" si="6"/>
        <v>12</v>
      </c>
      <c r="R75" s="1"/>
    </row>
    <row r="76" spans="1:18" ht="25.5">
      <c r="A76" s="2">
        <v>79</v>
      </c>
      <c r="B76" s="2" t="s">
        <v>141</v>
      </c>
      <c r="C76" s="2" t="s">
        <v>91</v>
      </c>
      <c r="D76" s="2" t="s">
        <v>321</v>
      </c>
      <c r="E76" s="16">
        <v>0</v>
      </c>
      <c r="F76" s="1">
        <v>15</v>
      </c>
      <c r="G76" s="1">
        <v>0</v>
      </c>
      <c r="H76" s="8">
        <f t="shared" si="8"/>
        <v>15</v>
      </c>
      <c r="I76" s="1">
        <v>0</v>
      </c>
      <c r="J76" s="1"/>
      <c r="K76" s="1">
        <v>0</v>
      </c>
      <c r="L76" s="8">
        <f t="shared" si="5"/>
        <v>0</v>
      </c>
      <c r="M76" s="6"/>
      <c r="N76" s="27">
        <f t="shared" si="7"/>
        <v>15</v>
      </c>
      <c r="O76" s="1">
        <v>12</v>
      </c>
      <c r="P76" s="1">
        <v>2</v>
      </c>
      <c r="Q76" s="7">
        <f t="shared" si="6"/>
        <v>10</v>
      </c>
      <c r="R76" s="1" t="s">
        <v>247</v>
      </c>
    </row>
    <row r="77" spans="1:18">
      <c r="A77" s="2">
        <v>80</v>
      </c>
      <c r="B77" s="24" t="s">
        <v>143</v>
      </c>
      <c r="C77" s="24" t="s">
        <v>144</v>
      </c>
      <c r="D77" s="24" t="s">
        <v>326</v>
      </c>
      <c r="E77" s="16">
        <v>0</v>
      </c>
      <c r="F77" s="25">
        <f>15*(12/12)</f>
        <v>15</v>
      </c>
      <c r="G77" s="1">
        <v>0</v>
      </c>
      <c r="H77" s="8">
        <f t="shared" si="8"/>
        <v>15</v>
      </c>
      <c r="I77" s="25">
        <v>6</v>
      </c>
      <c r="J77" s="25">
        <v>3</v>
      </c>
      <c r="K77" s="1">
        <v>0</v>
      </c>
      <c r="L77" s="8">
        <f t="shared" si="5"/>
        <v>9</v>
      </c>
      <c r="M77" s="6"/>
      <c r="N77" s="27">
        <f t="shared" si="7"/>
        <v>24</v>
      </c>
      <c r="O77" s="25">
        <v>12</v>
      </c>
      <c r="P77" s="25"/>
      <c r="Q77" s="7">
        <f t="shared" si="6"/>
        <v>12</v>
      </c>
      <c r="R77" s="25"/>
    </row>
    <row r="78" spans="1:18">
      <c r="A78" s="2">
        <v>81</v>
      </c>
      <c r="B78" s="2" t="s">
        <v>145</v>
      </c>
      <c r="C78" s="2" t="s">
        <v>146</v>
      </c>
      <c r="D78" s="2" t="s">
        <v>307</v>
      </c>
      <c r="E78" s="16">
        <v>0</v>
      </c>
      <c r="F78" s="18">
        <v>16</v>
      </c>
      <c r="G78" s="1">
        <v>0</v>
      </c>
      <c r="H78" s="8">
        <f t="shared" si="8"/>
        <v>16</v>
      </c>
      <c r="I78" s="1">
        <v>4</v>
      </c>
      <c r="J78" s="1">
        <v>1</v>
      </c>
      <c r="K78" s="1">
        <v>0</v>
      </c>
      <c r="L78" s="8">
        <f t="shared" si="5"/>
        <v>5</v>
      </c>
      <c r="M78" s="6">
        <v>0</v>
      </c>
      <c r="N78" s="27">
        <f t="shared" si="7"/>
        <v>21</v>
      </c>
      <c r="O78" s="1">
        <v>12</v>
      </c>
      <c r="P78" s="1"/>
      <c r="Q78" s="7">
        <f t="shared" si="6"/>
        <v>12</v>
      </c>
      <c r="R78" s="1"/>
    </row>
    <row r="79" spans="1:18">
      <c r="A79" s="2">
        <v>82</v>
      </c>
      <c r="B79" s="2" t="s">
        <v>145</v>
      </c>
      <c r="C79" s="2" t="s">
        <v>147</v>
      </c>
      <c r="D79" s="2" t="s">
        <v>314</v>
      </c>
      <c r="E79" s="16">
        <v>0</v>
      </c>
      <c r="F79" s="1">
        <f>20</f>
        <v>20</v>
      </c>
      <c r="G79" s="1">
        <v>0</v>
      </c>
      <c r="H79" s="8">
        <f t="shared" si="8"/>
        <v>20</v>
      </c>
      <c r="I79" s="1">
        <v>25</v>
      </c>
      <c r="J79" s="1">
        <v>0</v>
      </c>
      <c r="K79" s="1">
        <v>0</v>
      </c>
      <c r="L79" s="8">
        <f t="shared" si="5"/>
        <v>25</v>
      </c>
      <c r="M79" s="6"/>
      <c r="N79" s="27">
        <f t="shared" si="7"/>
        <v>45</v>
      </c>
      <c r="O79" s="1">
        <v>12</v>
      </c>
      <c r="P79" s="1"/>
      <c r="Q79" s="7">
        <f t="shared" si="6"/>
        <v>12</v>
      </c>
      <c r="R79" s="1"/>
    </row>
    <row r="80" spans="1:18" ht="25.5">
      <c r="A80" s="2">
        <v>83</v>
      </c>
      <c r="B80" s="2" t="s">
        <v>148</v>
      </c>
      <c r="C80" s="2" t="s">
        <v>149</v>
      </c>
      <c r="D80" s="2" t="s">
        <v>329</v>
      </c>
      <c r="E80" s="16">
        <v>0</v>
      </c>
      <c r="F80" s="1">
        <v>15</v>
      </c>
      <c r="G80" s="1">
        <v>0</v>
      </c>
      <c r="H80" s="8">
        <f t="shared" si="8"/>
        <v>15</v>
      </c>
      <c r="I80" s="1">
        <v>1</v>
      </c>
      <c r="J80" s="1">
        <v>1</v>
      </c>
      <c r="K80" s="1">
        <v>0</v>
      </c>
      <c r="L80" s="8">
        <f t="shared" si="5"/>
        <v>2</v>
      </c>
      <c r="M80" s="6"/>
      <c r="N80" s="27">
        <f t="shared" si="7"/>
        <v>17</v>
      </c>
      <c r="O80" s="1">
        <v>12</v>
      </c>
      <c r="P80" s="1">
        <v>2</v>
      </c>
      <c r="Q80" s="7">
        <f t="shared" si="6"/>
        <v>10</v>
      </c>
      <c r="R80" s="1" t="s">
        <v>251</v>
      </c>
    </row>
    <row r="81" spans="1:18" ht="51">
      <c r="A81" s="2">
        <v>84</v>
      </c>
      <c r="B81" s="2" t="s">
        <v>150</v>
      </c>
      <c r="C81" s="2" t="s">
        <v>151</v>
      </c>
      <c r="D81" s="2" t="s">
        <v>300</v>
      </c>
      <c r="E81" s="16">
        <v>0</v>
      </c>
      <c r="F81" s="1">
        <v>15</v>
      </c>
      <c r="G81" s="1">
        <v>0</v>
      </c>
      <c r="H81" s="8">
        <f t="shared" si="8"/>
        <v>15</v>
      </c>
      <c r="I81" s="1">
        <v>12</v>
      </c>
      <c r="J81" s="1">
        <v>3</v>
      </c>
      <c r="K81" s="1">
        <v>0</v>
      </c>
      <c r="L81" s="8">
        <f t="shared" si="5"/>
        <v>15</v>
      </c>
      <c r="M81" s="6"/>
      <c r="N81" s="27">
        <f t="shared" si="7"/>
        <v>30</v>
      </c>
      <c r="O81" s="1">
        <v>12</v>
      </c>
      <c r="P81" s="1">
        <v>12</v>
      </c>
      <c r="Q81" s="7">
        <f t="shared" si="6"/>
        <v>0</v>
      </c>
      <c r="R81" s="1" t="s">
        <v>283</v>
      </c>
    </row>
    <row r="82" spans="1:18">
      <c r="A82" s="2">
        <v>85</v>
      </c>
      <c r="B82" s="2" t="s">
        <v>152</v>
      </c>
      <c r="C82" s="2" t="s">
        <v>153</v>
      </c>
      <c r="D82" s="2" t="s">
        <v>298</v>
      </c>
      <c r="E82" s="16">
        <v>0</v>
      </c>
      <c r="F82" s="1">
        <v>25</v>
      </c>
      <c r="G82" s="1">
        <v>0</v>
      </c>
      <c r="H82" s="8">
        <f t="shared" si="8"/>
        <v>25</v>
      </c>
      <c r="I82" s="1"/>
      <c r="J82" s="1">
        <v>10</v>
      </c>
      <c r="K82" s="1">
        <v>0</v>
      </c>
      <c r="L82" s="8">
        <f t="shared" si="5"/>
        <v>10</v>
      </c>
      <c r="M82" s="6"/>
      <c r="N82" s="27">
        <f t="shared" si="7"/>
        <v>35</v>
      </c>
      <c r="O82" s="1">
        <v>12</v>
      </c>
      <c r="P82" s="1">
        <v>0</v>
      </c>
      <c r="Q82" s="7">
        <f t="shared" si="6"/>
        <v>12</v>
      </c>
      <c r="R82" s="1"/>
    </row>
    <row r="83" spans="1:18" ht="140.25">
      <c r="A83" s="2">
        <v>86</v>
      </c>
      <c r="B83" s="2" t="s">
        <v>154</v>
      </c>
      <c r="C83" s="2" t="s">
        <v>155</v>
      </c>
      <c r="D83" s="2" t="s">
        <v>322</v>
      </c>
      <c r="E83" s="16">
        <v>0</v>
      </c>
      <c r="F83" s="1">
        <v>15</v>
      </c>
      <c r="G83" s="1">
        <v>0</v>
      </c>
      <c r="H83" s="8">
        <f t="shared" si="8"/>
        <v>15</v>
      </c>
      <c r="I83" s="1">
        <v>0</v>
      </c>
      <c r="J83" s="1">
        <v>0</v>
      </c>
      <c r="K83" s="1">
        <v>0</v>
      </c>
      <c r="L83" s="8">
        <f t="shared" si="5"/>
        <v>0</v>
      </c>
      <c r="M83" s="6"/>
      <c r="N83" s="27">
        <f t="shared" si="7"/>
        <v>15</v>
      </c>
      <c r="O83" s="1">
        <v>12</v>
      </c>
      <c r="P83" s="1">
        <f>139+54</f>
        <v>193</v>
      </c>
      <c r="Q83" s="7">
        <f t="shared" si="6"/>
        <v>-181</v>
      </c>
      <c r="R83" s="1" t="s">
        <v>259</v>
      </c>
    </row>
    <row r="84" spans="1:18">
      <c r="A84" s="2">
        <v>87</v>
      </c>
      <c r="B84" s="11" t="s">
        <v>156</v>
      </c>
      <c r="C84" s="2" t="s">
        <v>157</v>
      </c>
      <c r="D84" s="2" t="s">
        <v>323</v>
      </c>
      <c r="E84" s="16">
        <v>0</v>
      </c>
      <c r="F84" s="1">
        <v>15</v>
      </c>
      <c r="G84" s="1">
        <v>0</v>
      </c>
      <c r="H84" s="8">
        <f t="shared" si="8"/>
        <v>15</v>
      </c>
      <c r="I84" s="1">
        <v>0</v>
      </c>
      <c r="J84" s="1">
        <v>0</v>
      </c>
      <c r="K84" s="1">
        <v>0</v>
      </c>
      <c r="L84" s="8">
        <f t="shared" si="5"/>
        <v>0</v>
      </c>
      <c r="M84" s="6"/>
      <c r="N84" s="27">
        <f t="shared" si="7"/>
        <v>15</v>
      </c>
      <c r="O84" s="1">
        <v>12</v>
      </c>
      <c r="P84" s="1"/>
      <c r="Q84" s="7">
        <f t="shared" si="6"/>
        <v>12</v>
      </c>
      <c r="R84" s="1"/>
    </row>
    <row r="85" spans="1:18" ht="25.5">
      <c r="A85" s="2">
        <v>88</v>
      </c>
      <c r="B85" s="13" t="s">
        <v>158</v>
      </c>
      <c r="C85" s="2" t="s">
        <v>159</v>
      </c>
      <c r="D85" s="2" t="s">
        <v>322</v>
      </c>
      <c r="E85" s="16">
        <v>0</v>
      </c>
      <c r="F85" s="1">
        <v>15</v>
      </c>
      <c r="G85" s="1">
        <v>0</v>
      </c>
      <c r="H85" s="8">
        <f t="shared" si="8"/>
        <v>15</v>
      </c>
      <c r="I85" s="1">
        <v>0</v>
      </c>
      <c r="J85" s="1">
        <v>0</v>
      </c>
      <c r="K85" s="1">
        <v>0</v>
      </c>
      <c r="L85" s="8">
        <f t="shared" si="5"/>
        <v>0</v>
      </c>
      <c r="M85" s="6"/>
      <c r="N85" s="27">
        <f t="shared" si="7"/>
        <v>15</v>
      </c>
      <c r="O85" s="1">
        <v>12</v>
      </c>
      <c r="P85" s="1"/>
      <c r="Q85" s="7">
        <f t="shared" si="6"/>
        <v>12</v>
      </c>
      <c r="R85" s="1"/>
    </row>
    <row r="86" spans="1:18" ht="25.5">
      <c r="A86" s="2">
        <v>89</v>
      </c>
      <c r="B86" s="2" t="s">
        <v>160</v>
      </c>
      <c r="C86" s="2" t="s">
        <v>161</v>
      </c>
      <c r="D86" s="2" t="s">
        <v>313</v>
      </c>
      <c r="E86" s="16">
        <v>0</v>
      </c>
      <c r="F86" s="1">
        <v>16</v>
      </c>
      <c r="G86" s="1">
        <v>0</v>
      </c>
      <c r="H86" s="8">
        <f t="shared" si="8"/>
        <v>16</v>
      </c>
      <c r="I86" s="1">
        <v>12</v>
      </c>
      <c r="J86" s="1">
        <v>10</v>
      </c>
      <c r="K86" s="1">
        <v>0</v>
      </c>
      <c r="L86" s="8">
        <f t="shared" si="5"/>
        <v>22</v>
      </c>
      <c r="M86" s="6"/>
      <c r="N86" s="27">
        <f t="shared" si="7"/>
        <v>38</v>
      </c>
      <c r="O86" s="1">
        <v>12</v>
      </c>
      <c r="P86" s="1">
        <v>1</v>
      </c>
      <c r="Q86" s="7">
        <f t="shared" si="6"/>
        <v>11</v>
      </c>
      <c r="R86" s="1"/>
    </row>
    <row r="87" spans="1:18">
      <c r="A87" s="2">
        <v>90</v>
      </c>
      <c r="B87" s="20" t="s">
        <v>162</v>
      </c>
      <c r="C87" s="20" t="s">
        <v>163</v>
      </c>
      <c r="D87" s="20" t="s">
        <v>330</v>
      </c>
      <c r="E87" s="16">
        <v>0</v>
      </c>
      <c r="F87" s="18">
        <v>20</v>
      </c>
      <c r="G87" s="1">
        <v>0</v>
      </c>
      <c r="H87" s="8">
        <f t="shared" si="8"/>
        <v>20</v>
      </c>
      <c r="I87" s="18">
        <v>0</v>
      </c>
      <c r="J87" s="18"/>
      <c r="K87" s="1">
        <v>0</v>
      </c>
      <c r="L87" s="8">
        <f t="shared" si="5"/>
        <v>0</v>
      </c>
      <c r="M87" s="6"/>
      <c r="N87" s="27">
        <f t="shared" si="7"/>
        <v>20</v>
      </c>
      <c r="O87" s="18">
        <v>12</v>
      </c>
      <c r="P87" s="18"/>
      <c r="Q87" s="7">
        <f t="shared" si="6"/>
        <v>12</v>
      </c>
      <c r="R87" s="18"/>
    </row>
    <row r="88" spans="1:18" ht="25.5">
      <c r="A88" s="2">
        <v>91</v>
      </c>
      <c r="B88" s="2" t="s">
        <v>164</v>
      </c>
      <c r="C88" s="2" t="s">
        <v>165</v>
      </c>
      <c r="D88" s="2" t="s">
        <v>294</v>
      </c>
      <c r="E88" s="16">
        <v>0</v>
      </c>
      <c r="F88" s="1">
        <v>15</v>
      </c>
      <c r="G88" s="1">
        <v>0</v>
      </c>
      <c r="H88" s="8">
        <f t="shared" si="8"/>
        <v>15</v>
      </c>
      <c r="I88" s="1">
        <v>0</v>
      </c>
      <c r="J88" s="1">
        <v>0</v>
      </c>
      <c r="K88" s="1">
        <v>0</v>
      </c>
      <c r="L88" s="8">
        <f t="shared" si="5"/>
        <v>0</v>
      </c>
      <c r="M88" s="6"/>
      <c r="N88" s="27">
        <f t="shared" si="7"/>
        <v>15</v>
      </c>
      <c r="O88" s="1">
        <v>12</v>
      </c>
      <c r="P88" s="1"/>
      <c r="Q88" s="7">
        <f t="shared" si="6"/>
        <v>12</v>
      </c>
      <c r="R88" s="1"/>
    </row>
    <row r="89" spans="1:18">
      <c r="A89" s="2">
        <v>92</v>
      </c>
      <c r="B89" s="14" t="s">
        <v>166</v>
      </c>
      <c r="C89" s="2" t="s">
        <v>125</v>
      </c>
      <c r="D89" s="2" t="s">
        <v>295</v>
      </c>
      <c r="E89" s="16">
        <v>0</v>
      </c>
      <c r="F89" s="1">
        <v>20</v>
      </c>
      <c r="G89" s="1">
        <v>0</v>
      </c>
      <c r="H89" s="8">
        <f t="shared" si="8"/>
        <v>20</v>
      </c>
      <c r="I89" s="1">
        <v>0</v>
      </c>
      <c r="J89" s="1">
        <v>10</v>
      </c>
      <c r="K89" s="1">
        <v>0</v>
      </c>
      <c r="L89" s="8">
        <f t="shared" si="5"/>
        <v>10</v>
      </c>
      <c r="M89" s="6"/>
      <c r="N89" s="27">
        <f t="shared" si="7"/>
        <v>30</v>
      </c>
      <c r="O89" s="1">
        <v>12</v>
      </c>
      <c r="P89" s="1"/>
      <c r="Q89" s="7">
        <f t="shared" si="6"/>
        <v>12</v>
      </c>
      <c r="R89" s="1"/>
    </row>
    <row r="90" spans="1:18">
      <c r="A90" s="2">
        <v>93</v>
      </c>
      <c r="B90" s="2" t="s">
        <v>167</v>
      </c>
      <c r="C90" s="2" t="s">
        <v>168</v>
      </c>
      <c r="D90" s="2" t="s">
        <v>317</v>
      </c>
      <c r="E90" s="16">
        <v>0</v>
      </c>
      <c r="F90" s="1">
        <f>20</f>
        <v>20</v>
      </c>
      <c r="G90" s="1">
        <v>0</v>
      </c>
      <c r="H90" s="8">
        <f t="shared" si="8"/>
        <v>20</v>
      </c>
      <c r="I90" s="1">
        <v>0</v>
      </c>
      <c r="J90" s="1">
        <v>0</v>
      </c>
      <c r="K90" s="1">
        <v>0</v>
      </c>
      <c r="L90" s="8">
        <f t="shared" si="5"/>
        <v>0</v>
      </c>
      <c r="M90" s="6"/>
      <c r="N90" s="27">
        <f t="shared" si="7"/>
        <v>20</v>
      </c>
      <c r="O90" s="1">
        <v>12</v>
      </c>
      <c r="P90" s="1"/>
      <c r="Q90" s="7">
        <f t="shared" si="6"/>
        <v>12</v>
      </c>
      <c r="R90" s="1"/>
    </row>
    <row r="91" spans="1:18" ht="25.5">
      <c r="A91" s="2">
        <v>94</v>
      </c>
      <c r="B91" s="2" t="s">
        <v>169</v>
      </c>
      <c r="C91" s="2" t="s">
        <v>170</v>
      </c>
      <c r="D91" s="2" t="s">
        <v>331</v>
      </c>
      <c r="E91" s="16">
        <v>0</v>
      </c>
      <c r="F91" s="1">
        <v>20</v>
      </c>
      <c r="G91" s="1">
        <v>0</v>
      </c>
      <c r="H91" s="26">
        <f t="shared" si="8"/>
        <v>20</v>
      </c>
      <c r="I91" s="1">
        <v>0</v>
      </c>
      <c r="J91" s="1">
        <v>10</v>
      </c>
      <c r="K91" s="1">
        <v>0</v>
      </c>
      <c r="L91" s="8">
        <f t="shared" si="5"/>
        <v>10</v>
      </c>
      <c r="M91" s="6"/>
      <c r="N91" s="27">
        <f t="shared" si="7"/>
        <v>30</v>
      </c>
      <c r="O91" s="1">
        <v>12</v>
      </c>
      <c r="P91" s="1"/>
      <c r="Q91" s="7">
        <f t="shared" si="6"/>
        <v>12</v>
      </c>
      <c r="R91" s="1"/>
    </row>
    <row r="92" spans="1:18" ht="25.5">
      <c r="A92" s="2">
        <v>95</v>
      </c>
      <c r="B92" s="2" t="s">
        <v>169</v>
      </c>
      <c r="C92" s="2" t="s">
        <v>171</v>
      </c>
      <c r="D92" s="2" t="s">
        <v>293</v>
      </c>
      <c r="E92" s="16">
        <v>0</v>
      </c>
      <c r="F92" s="1">
        <v>21</v>
      </c>
      <c r="G92" s="1">
        <v>0</v>
      </c>
      <c r="H92" s="26">
        <f t="shared" si="8"/>
        <v>21</v>
      </c>
      <c r="I92" s="1">
        <v>9</v>
      </c>
      <c r="J92" s="1">
        <v>10</v>
      </c>
      <c r="K92" s="1">
        <v>0</v>
      </c>
      <c r="L92" s="8">
        <f t="shared" si="5"/>
        <v>19</v>
      </c>
      <c r="M92" s="6"/>
      <c r="N92" s="27">
        <f t="shared" si="7"/>
        <v>40</v>
      </c>
      <c r="O92" s="1">
        <v>12</v>
      </c>
      <c r="P92" s="1"/>
      <c r="Q92" s="7">
        <f t="shared" si="6"/>
        <v>12</v>
      </c>
      <c r="R92" s="1"/>
    </row>
    <row r="93" spans="1:18">
      <c r="A93" s="2">
        <v>96</v>
      </c>
      <c r="B93" s="2" t="s">
        <v>172</v>
      </c>
      <c r="C93" s="2" t="s">
        <v>173</v>
      </c>
      <c r="D93" s="2" t="s">
        <v>311</v>
      </c>
      <c r="E93" s="16">
        <v>0</v>
      </c>
      <c r="F93" s="1">
        <f>15</f>
        <v>15</v>
      </c>
      <c r="G93" s="1"/>
      <c r="H93" s="8">
        <f>E93+F93-G93</f>
        <v>15</v>
      </c>
      <c r="I93" s="1">
        <v>0</v>
      </c>
      <c r="J93" s="1">
        <v>0</v>
      </c>
      <c r="K93" s="1">
        <v>0</v>
      </c>
      <c r="L93" s="8">
        <f>I93+J93-K93</f>
        <v>0</v>
      </c>
      <c r="M93" s="6"/>
      <c r="N93" s="27">
        <f t="shared" si="7"/>
        <v>15</v>
      </c>
      <c r="O93" s="1">
        <v>12</v>
      </c>
      <c r="P93" s="1"/>
      <c r="Q93" s="7">
        <f t="shared" si="6"/>
        <v>12</v>
      </c>
      <c r="R93" s="17"/>
    </row>
    <row r="94" spans="1:18">
      <c r="A94" s="2"/>
      <c r="B94" s="2"/>
      <c r="C94" s="2"/>
      <c r="D94" s="2"/>
      <c r="E94" s="1"/>
      <c r="F94" s="1"/>
      <c r="G94" s="1"/>
      <c r="H94" s="8"/>
      <c r="I94" s="1"/>
      <c r="J94" s="1"/>
      <c r="K94" s="1"/>
      <c r="L94" s="8"/>
      <c r="M94" s="6"/>
      <c r="N94" s="27"/>
      <c r="O94" s="1"/>
      <c r="P94" s="1"/>
      <c r="Q94" s="7"/>
      <c r="R94" s="17"/>
    </row>
    <row r="95" spans="1:18">
      <c r="A95" s="2">
        <v>97</v>
      </c>
      <c r="B95" s="31" t="s">
        <v>174</v>
      </c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6"/>
      <c r="N95" s="35"/>
      <c r="O95" s="3">
        <v>12</v>
      </c>
      <c r="P95" s="32"/>
      <c r="Q95" s="5">
        <f t="shared" ref="Q95:Q145" si="9">O95-P95</f>
        <v>12</v>
      </c>
      <c r="R95" s="32"/>
    </row>
    <row r="96" spans="1:18">
      <c r="A96" s="2">
        <v>98</v>
      </c>
      <c r="B96" s="41" t="s">
        <v>4</v>
      </c>
      <c r="C96" s="41" t="s">
        <v>257</v>
      </c>
      <c r="D96" s="5" t="s">
        <v>314</v>
      </c>
      <c r="E96" s="3">
        <v>2</v>
      </c>
      <c r="F96" s="39">
        <v>20</v>
      </c>
      <c r="G96" s="39">
        <v>0</v>
      </c>
      <c r="H96" s="5">
        <f t="shared" ref="H96:H145" si="10">E96+F96-G96</f>
        <v>22</v>
      </c>
      <c r="I96" s="3">
        <v>0</v>
      </c>
      <c r="J96" s="39">
        <v>10</v>
      </c>
      <c r="K96" s="39">
        <v>0</v>
      </c>
      <c r="L96" s="5">
        <f t="shared" ref="L96:L145" si="11">I96+J96-K96</f>
        <v>10</v>
      </c>
      <c r="M96" s="6"/>
      <c r="N96" s="35">
        <f t="shared" ref="N96:N145" si="12">H96+L96</f>
        <v>32</v>
      </c>
      <c r="O96" s="3"/>
      <c r="P96" s="39"/>
      <c r="Q96" s="5"/>
      <c r="R96" s="39"/>
    </row>
    <row r="97" spans="1:18">
      <c r="A97" s="2">
        <v>99</v>
      </c>
      <c r="B97" s="41" t="s">
        <v>213</v>
      </c>
      <c r="C97" s="41" t="s">
        <v>214</v>
      </c>
      <c r="D97" s="41" t="s">
        <v>311</v>
      </c>
      <c r="E97" s="3"/>
      <c r="F97" s="39">
        <v>15</v>
      </c>
      <c r="G97" s="39">
        <v>0</v>
      </c>
      <c r="H97" s="5">
        <f t="shared" si="10"/>
        <v>15</v>
      </c>
      <c r="I97" s="3">
        <v>0</v>
      </c>
      <c r="J97" s="39">
        <v>10</v>
      </c>
      <c r="K97" s="39">
        <v>10</v>
      </c>
      <c r="L97" s="5">
        <f t="shared" si="11"/>
        <v>0</v>
      </c>
      <c r="M97" s="6"/>
      <c r="N97" s="35">
        <f t="shared" si="12"/>
        <v>15</v>
      </c>
      <c r="O97" s="3">
        <v>12</v>
      </c>
      <c r="P97" s="32"/>
      <c r="Q97" s="5">
        <f t="shared" si="9"/>
        <v>12</v>
      </c>
      <c r="R97" s="32"/>
    </row>
    <row r="98" spans="1:18">
      <c r="A98" s="2">
        <v>100</v>
      </c>
      <c r="B98" s="41" t="s">
        <v>218</v>
      </c>
      <c r="C98" s="41" t="s">
        <v>219</v>
      </c>
      <c r="D98" s="41" t="s">
        <v>311</v>
      </c>
      <c r="E98" s="3"/>
      <c r="F98" s="39">
        <v>15</v>
      </c>
      <c r="G98" s="39">
        <v>0</v>
      </c>
      <c r="H98" s="5">
        <f t="shared" si="10"/>
        <v>15</v>
      </c>
      <c r="I98" s="3">
        <v>0</v>
      </c>
      <c r="J98" s="39">
        <v>10</v>
      </c>
      <c r="K98" s="39">
        <v>10</v>
      </c>
      <c r="L98" s="5">
        <f t="shared" si="11"/>
        <v>0</v>
      </c>
      <c r="M98" s="6"/>
      <c r="N98" s="35">
        <f t="shared" si="12"/>
        <v>15</v>
      </c>
      <c r="O98" s="3">
        <v>12</v>
      </c>
      <c r="P98" s="39"/>
      <c r="Q98" s="5">
        <f t="shared" si="9"/>
        <v>12</v>
      </c>
      <c r="R98" s="39"/>
    </row>
    <row r="99" spans="1:18">
      <c r="A99" s="2">
        <v>101</v>
      </c>
      <c r="B99" s="31" t="s">
        <v>267</v>
      </c>
      <c r="C99" s="31" t="s">
        <v>268</v>
      </c>
      <c r="D99" s="31" t="s">
        <v>332</v>
      </c>
      <c r="E99" s="3"/>
      <c r="F99" s="3">
        <v>15</v>
      </c>
      <c r="G99" s="39">
        <v>0</v>
      </c>
      <c r="H99" s="5">
        <f t="shared" si="10"/>
        <v>15</v>
      </c>
      <c r="I99" s="3">
        <v>0</v>
      </c>
      <c r="J99" s="32"/>
      <c r="K99" s="32">
        <v>0</v>
      </c>
      <c r="L99" s="5">
        <f t="shared" si="11"/>
        <v>0</v>
      </c>
      <c r="M99" s="6"/>
      <c r="N99" s="35">
        <f t="shared" si="12"/>
        <v>15</v>
      </c>
      <c r="O99" s="3">
        <v>12</v>
      </c>
      <c r="P99" s="32"/>
      <c r="Q99" s="5">
        <f t="shared" si="9"/>
        <v>12</v>
      </c>
      <c r="R99" s="3" t="s">
        <v>269</v>
      </c>
    </row>
    <row r="100" spans="1:18">
      <c r="A100" s="2">
        <v>102</v>
      </c>
      <c r="B100" s="5" t="s">
        <v>175</v>
      </c>
      <c r="C100" s="5" t="s">
        <v>176</v>
      </c>
      <c r="D100" s="5" t="s">
        <v>310</v>
      </c>
      <c r="E100" s="3"/>
      <c r="F100" s="3">
        <v>15</v>
      </c>
      <c r="G100" s="39">
        <v>0</v>
      </c>
      <c r="H100" s="5">
        <f t="shared" si="10"/>
        <v>15</v>
      </c>
      <c r="I100" s="3">
        <v>0</v>
      </c>
      <c r="J100" s="3"/>
      <c r="K100" s="32">
        <v>0</v>
      </c>
      <c r="L100" s="5">
        <f t="shared" si="11"/>
        <v>0</v>
      </c>
      <c r="M100" s="6"/>
      <c r="N100" s="35">
        <f t="shared" si="12"/>
        <v>15</v>
      </c>
      <c r="O100" s="3">
        <v>12</v>
      </c>
      <c r="P100" s="3">
        <v>1</v>
      </c>
      <c r="Q100" s="5">
        <f t="shared" si="9"/>
        <v>11</v>
      </c>
      <c r="R100" s="3" t="s">
        <v>261</v>
      </c>
    </row>
    <row r="101" spans="1:18">
      <c r="A101" s="2">
        <v>103</v>
      </c>
      <c r="B101" s="5" t="s">
        <v>224</v>
      </c>
      <c r="C101" s="5" t="s">
        <v>225</v>
      </c>
      <c r="D101" s="5" t="s">
        <v>296</v>
      </c>
      <c r="E101" s="3"/>
      <c r="F101" s="3">
        <v>15</v>
      </c>
      <c r="G101" s="39">
        <v>0</v>
      </c>
      <c r="H101" s="5">
        <f t="shared" si="10"/>
        <v>15</v>
      </c>
      <c r="I101" s="3">
        <v>0</v>
      </c>
      <c r="J101" s="3"/>
      <c r="K101" s="32">
        <v>0</v>
      </c>
      <c r="L101" s="5">
        <f t="shared" si="11"/>
        <v>0</v>
      </c>
      <c r="M101" s="6"/>
      <c r="N101" s="35">
        <f t="shared" si="12"/>
        <v>15</v>
      </c>
      <c r="O101" s="3">
        <v>12</v>
      </c>
      <c r="P101" s="3"/>
      <c r="Q101" s="5">
        <f t="shared" si="9"/>
        <v>12</v>
      </c>
      <c r="R101" s="3"/>
    </row>
    <row r="102" spans="1:18" s="42" customFormat="1">
      <c r="A102" s="2"/>
      <c r="B102" s="5" t="s">
        <v>286</v>
      </c>
      <c r="C102" s="5" t="s">
        <v>287</v>
      </c>
      <c r="D102" s="5" t="s">
        <v>314</v>
      </c>
      <c r="E102" s="3">
        <v>7</v>
      </c>
      <c r="F102" s="3">
        <v>20</v>
      </c>
      <c r="G102" s="39">
        <v>0</v>
      </c>
      <c r="H102" s="5">
        <f t="shared" si="10"/>
        <v>27</v>
      </c>
      <c r="I102" s="3">
        <v>3</v>
      </c>
      <c r="J102" s="3">
        <v>10</v>
      </c>
      <c r="K102" s="39"/>
      <c r="L102" s="5">
        <f t="shared" si="11"/>
        <v>13</v>
      </c>
      <c r="M102" s="6"/>
      <c r="N102" s="35">
        <f t="shared" si="12"/>
        <v>40</v>
      </c>
      <c r="O102" s="3"/>
      <c r="P102" s="3"/>
      <c r="Q102" s="5"/>
      <c r="R102" s="3"/>
    </row>
    <row r="103" spans="1:18">
      <c r="A103" s="2">
        <v>104</v>
      </c>
      <c r="B103" s="5" t="s">
        <v>233</v>
      </c>
      <c r="C103" s="5" t="s">
        <v>234</v>
      </c>
      <c r="D103" s="5" t="s">
        <v>332</v>
      </c>
      <c r="E103" s="3">
        <v>7</v>
      </c>
      <c r="F103" s="3">
        <v>20</v>
      </c>
      <c r="G103" s="39">
        <v>0</v>
      </c>
      <c r="H103" s="5">
        <f t="shared" si="10"/>
        <v>27</v>
      </c>
      <c r="I103" s="3">
        <v>0</v>
      </c>
      <c r="J103" s="3">
        <v>10</v>
      </c>
      <c r="K103" s="32">
        <v>0</v>
      </c>
      <c r="L103" s="5">
        <f t="shared" si="11"/>
        <v>10</v>
      </c>
      <c r="M103" s="6"/>
      <c r="N103" s="35">
        <f t="shared" si="12"/>
        <v>37</v>
      </c>
      <c r="O103" s="3">
        <v>12</v>
      </c>
      <c r="P103" s="3"/>
      <c r="Q103" s="5">
        <f t="shared" si="9"/>
        <v>12</v>
      </c>
      <c r="R103" s="3"/>
    </row>
    <row r="104" spans="1:18" ht="25.5">
      <c r="A104" s="2">
        <v>105</v>
      </c>
      <c r="B104" s="5" t="s">
        <v>177</v>
      </c>
      <c r="C104" s="5" t="s">
        <v>178</v>
      </c>
      <c r="D104" s="33" t="s">
        <v>333</v>
      </c>
      <c r="E104" s="3">
        <v>7</v>
      </c>
      <c r="F104" s="3">
        <v>20</v>
      </c>
      <c r="G104" s="39">
        <v>0</v>
      </c>
      <c r="H104" s="5">
        <f t="shared" si="10"/>
        <v>27</v>
      </c>
      <c r="I104" s="3">
        <v>0</v>
      </c>
      <c r="J104" s="3"/>
      <c r="K104" s="32">
        <v>0</v>
      </c>
      <c r="L104" s="5">
        <f t="shared" si="11"/>
        <v>0</v>
      </c>
      <c r="M104" s="6"/>
      <c r="N104" s="35">
        <f t="shared" si="12"/>
        <v>27</v>
      </c>
      <c r="O104" s="3">
        <v>12</v>
      </c>
      <c r="P104" s="3">
        <v>3</v>
      </c>
      <c r="Q104" s="5">
        <f t="shared" si="9"/>
        <v>9</v>
      </c>
      <c r="R104" s="3" t="s">
        <v>252</v>
      </c>
    </row>
    <row r="105" spans="1:18">
      <c r="A105" s="2">
        <v>106</v>
      </c>
      <c r="B105" s="5" t="s">
        <v>235</v>
      </c>
      <c r="C105" s="5" t="s">
        <v>236</v>
      </c>
      <c r="D105" s="5" t="s">
        <v>311</v>
      </c>
      <c r="E105" s="3">
        <v>7</v>
      </c>
      <c r="F105" s="3">
        <v>20</v>
      </c>
      <c r="G105" s="39">
        <v>0</v>
      </c>
      <c r="H105" s="5">
        <f t="shared" si="10"/>
        <v>27</v>
      </c>
      <c r="I105" s="3">
        <v>0</v>
      </c>
      <c r="J105" s="3">
        <v>10</v>
      </c>
      <c r="K105" s="39">
        <v>10</v>
      </c>
      <c r="L105" s="5">
        <f t="shared" si="11"/>
        <v>0</v>
      </c>
      <c r="M105" s="6"/>
      <c r="N105" s="35">
        <f t="shared" si="12"/>
        <v>27</v>
      </c>
      <c r="O105" s="3">
        <v>12</v>
      </c>
      <c r="P105" s="3"/>
      <c r="Q105" s="5">
        <f t="shared" si="9"/>
        <v>12</v>
      </c>
      <c r="R105" s="3"/>
    </row>
    <row r="106" spans="1:18">
      <c r="A106" s="2">
        <v>107</v>
      </c>
      <c r="B106" s="40" t="s">
        <v>179</v>
      </c>
      <c r="C106" s="40" t="s">
        <v>180</v>
      </c>
      <c r="D106" s="40" t="s">
        <v>334</v>
      </c>
      <c r="E106" s="3">
        <v>2</v>
      </c>
      <c r="F106" s="3">
        <f>20*(4/12)</f>
        <v>6.6666666666666661</v>
      </c>
      <c r="G106" s="39">
        <v>0</v>
      </c>
      <c r="H106" s="5">
        <f t="shared" si="10"/>
        <v>8.6666666666666661</v>
      </c>
      <c r="I106" s="3">
        <v>0</v>
      </c>
      <c r="J106" s="39">
        <v>0</v>
      </c>
      <c r="K106" s="39">
        <v>0</v>
      </c>
      <c r="L106" s="5">
        <f t="shared" si="11"/>
        <v>0</v>
      </c>
      <c r="M106" s="6"/>
      <c r="N106" s="35">
        <f t="shared" si="12"/>
        <v>8.6666666666666661</v>
      </c>
      <c r="O106" s="3">
        <v>12</v>
      </c>
      <c r="P106" s="32"/>
      <c r="Q106" s="5">
        <f t="shared" si="9"/>
        <v>12</v>
      </c>
      <c r="R106" s="32"/>
    </row>
    <row r="107" spans="1:18">
      <c r="A107" s="2">
        <v>108</v>
      </c>
      <c r="B107" s="5" t="s">
        <v>181</v>
      </c>
      <c r="C107" s="5" t="s">
        <v>182</v>
      </c>
      <c r="D107" s="5" t="s">
        <v>311</v>
      </c>
      <c r="E107" s="3">
        <v>1</v>
      </c>
      <c r="F107" s="3">
        <v>20</v>
      </c>
      <c r="G107" s="39">
        <v>0</v>
      </c>
      <c r="H107" s="5">
        <f t="shared" si="10"/>
        <v>21</v>
      </c>
      <c r="I107" s="3">
        <v>5</v>
      </c>
      <c r="J107" s="3">
        <v>10</v>
      </c>
      <c r="K107" s="39">
        <v>0</v>
      </c>
      <c r="L107" s="5">
        <f t="shared" si="11"/>
        <v>15</v>
      </c>
      <c r="M107" s="6"/>
      <c r="N107" s="35">
        <f t="shared" si="12"/>
        <v>36</v>
      </c>
      <c r="O107" s="3">
        <v>12</v>
      </c>
      <c r="P107" s="3"/>
      <c r="Q107" s="5">
        <f t="shared" si="9"/>
        <v>12</v>
      </c>
      <c r="R107" s="3"/>
    </row>
    <row r="108" spans="1:18" ht="38.25">
      <c r="A108" s="2">
        <v>109</v>
      </c>
      <c r="B108" s="5" t="s">
        <v>242</v>
      </c>
      <c r="C108" s="5" t="s">
        <v>243</v>
      </c>
      <c r="D108" s="5" t="s">
        <v>335</v>
      </c>
      <c r="E108" s="3">
        <v>7</v>
      </c>
      <c r="F108" s="3">
        <v>20</v>
      </c>
      <c r="G108" s="39">
        <v>0</v>
      </c>
      <c r="H108" s="5">
        <f t="shared" si="10"/>
        <v>27</v>
      </c>
      <c r="I108" s="3">
        <v>0</v>
      </c>
      <c r="J108" s="3"/>
      <c r="K108" s="32">
        <v>0</v>
      </c>
      <c r="L108" s="5">
        <f t="shared" si="11"/>
        <v>0</v>
      </c>
      <c r="M108" s="6"/>
      <c r="N108" s="35">
        <f t="shared" si="12"/>
        <v>27</v>
      </c>
      <c r="O108" s="3">
        <v>12</v>
      </c>
      <c r="P108" s="3">
        <v>5</v>
      </c>
      <c r="Q108" s="5">
        <f t="shared" si="9"/>
        <v>7</v>
      </c>
      <c r="R108" s="3" t="s">
        <v>256</v>
      </c>
    </row>
    <row r="109" spans="1:18" ht="25.5">
      <c r="A109" s="2">
        <v>110</v>
      </c>
      <c r="B109" s="5" t="s">
        <v>242</v>
      </c>
      <c r="C109" s="5" t="s">
        <v>153</v>
      </c>
      <c r="D109" s="5" t="s">
        <v>336</v>
      </c>
      <c r="E109" s="3">
        <v>16</v>
      </c>
      <c r="F109" s="3">
        <v>15</v>
      </c>
      <c r="G109" s="39">
        <v>0</v>
      </c>
      <c r="H109" s="5">
        <f t="shared" si="10"/>
        <v>31</v>
      </c>
      <c r="I109" s="3">
        <v>0</v>
      </c>
      <c r="J109" s="3"/>
      <c r="K109" s="32">
        <v>0</v>
      </c>
      <c r="L109" s="5">
        <f t="shared" si="11"/>
        <v>0</v>
      </c>
      <c r="M109" s="6"/>
      <c r="N109" s="35">
        <f t="shared" si="12"/>
        <v>31</v>
      </c>
      <c r="O109" s="3">
        <v>12</v>
      </c>
      <c r="P109" s="3"/>
      <c r="Q109" s="5">
        <f t="shared" si="9"/>
        <v>12</v>
      </c>
      <c r="R109" s="3"/>
    </row>
    <row r="110" spans="1:18">
      <c r="A110" s="2">
        <v>111</v>
      </c>
      <c r="B110" s="5" t="s">
        <v>217</v>
      </c>
      <c r="C110" s="5" t="s">
        <v>184</v>
      </c>
      <c r="D110" s="5" t="s">
        <v>337</v>
      </c>
      <c r="E110" s="3">
        <v>0</v>
      </c>
      <c r="F110" s="3">
        <v>15</v>
      </c>
      <c r="G110" s="39">
        <v>0</v>
      </c>
      <c r="H110" s="5">
        <f t="shared" si="10"/>
        <v>15</v>
      </c>
      <c r="I110" s="3">
        <v>0</v>
      </c>
      <c r="J110" s="3">
        <v>0</v>
      </c>
      <c r="K110" s="39">
        <v>0</v>
      </c>
      <c r="L110" s="5">
        <f t="shared" si="11"/>
        <v>0</v>
      </c>
      <c r="M110" s="6"/>
      <c r="N110" s="35">
        <f t="shared" si="12"/>
        <v>15</v>
      </c>
      <c r="O110" s="3">
        <v>12</v>
      </c>
      <c r="P110" s="3"/>
      <c r="Q110" s="5">
        <f t="shared" si="9"/>
        <v>12</v>
      </c>
      <c r="R110" s="3"/>
    </row>
    <row r="111" spans="1:18">
      <c r="A111" s="2"/>
      <c r="B111" s="5" t="s">
        <v>284</v>
      </c>
      <c r="C111" s="5" t="s">
        <v>285</v>
      </c>
      <c r="D111" s="5" t="s">
        <v>311</v>
      </c>
      <c r="E111" s="3">
        <v>7</v>
      </c>
      <c r="F111" s="3">
        <v>20</v>
      </c>
      <c r="G111" s="39">
        <v>0</v>
      </c>
      <c r="H111" s="5">
        <f t="shared" si="10"/>
        <v>27</v>
      </c>
      <c r="I111" s="3"/>
      <c r="J111" s="3">
        <f>10*(8/12)</f>
        <v>6.6666666666666661</v>
      </c>
      <c r="K111" s="39"/>
      <c r="L111" s="5">
        <f t="shared" si="11"/>
        <v>6.6666666666666661</v>
      </c>
      <c r="M111" s="6"/>
      <c r="N111" s="35">
        <f t="shared" si="12"/>
        <v>33.666666666666664</v>
      </c>
      <c r="O111" s="3"/>
      <c r="P111" s="3"/>
      <c r="Q111" s="5"/>
      <c r="R111" s="3"/>
    </row>
    <row r="112" spans="1:18">
      <c r="A112" s="2">
        <v>112</v>
      </c>
      <c r="B112" s="5" t="s">
        <v>222</v>
      </c>
      <c r="C112" s="5" t="s">
        <v>223</v>
      </c>
      <c r="D112" s="5" t="s">
        <v>311</v>
      </c>
      <c r="E112" s="3">
        <v>7</v>
      </c>
      <c r="F112" s="3">
        <v>20</v>
      </c>
      <c r="G112" s="39">
        <v>0</v>
      </c>
      <c r="H112" s="5">
        <f t="shared" si="10"/>
        <v>27</v>
      </c>
      <c r="I112" s="3">
        <v>0</v>
      </c>
      <c r="J112" s="3">
        <v>10</v>
      </c>
      <c r="K112" s="39">
        <v>10</v>
      </c>
      <c r="L112" s="5">
        <f t="shared" si="11"/>
        <v>0</v>
      </c>
      <c r="M112" s="6"/>
      <c r="N112" s="35">
        <f t="shared" si="12"/>
        <v>27</v>
      </c>
      <c r="O112" s="3">
        <v>12</v>
      </c>
      <c r="P112" s="3"/>
      <c r="Q112" s="5">
        <f t="shared" si="9"/>
        <v>12</v>
      </c>
      <c r="R112" s="3"/>
    </row>
    <row r="113" spans="1:18" ht="38.25">
      <c r="A113" s="2">
        <v>113</v>
      </c>
      <c r="B113" s="40" t="s">
        <v>244</v>
      </c>
      <c r="C113" s="40" t="s">
        <v>245</v>
      </c>
      <c r="D113" s="5" t="s">
        <v>338</v>
      </c>
      <c r="E113" s="3">
        <v>7</v>
      </c>
      <c r="F113" s="3">
        <v>20</v>
      </c>
      <c r="G113" s="39">
        <v>0</v>
      </c>
      <c r="H113" s="5">
        <f t="shared" si="10"/>
        <v>27</v>
      </c>
      <c r="I113" s="3">
        <v>0</v>
      </c>
      <c r="J113" s="39">
        <v>3</v>
      </c>
      <c r="K113" s="39">
        <v>0</v>
      </c>
      <c r="L113" s="5">
        <f t="shared" si="11"/>
        <v>3</v>
      </c>
      <c r="M113" s="6"/>
      <c r="N113" s="35">
        <f t="shared" si="12"/>
        <v>30</v>
      </c>
      <c r="O113" s="3">
        <v>12</v>
      </c>
      <c r="P113" s="32">
        <v>1</v>
      </c>
      <c r="Q113" s="5">
        <f t="shared" si="9"/>
        <v>11</v>
      </c>
      <c r="R113" s="32" t="s">
        <v>246</v>
      </c>
    </row>
    <row r="114" spans="1:18">
      <c r="A114" s="2">
        <v>114</v>
      </c>
      <c r="B114" s="5" t="s">
        <v>215</v>
      </c>
      <c r="C114" s="5" t="s">
        <v>216</v>
      </c>
      <c r="D114" s="5" t="s">
        <v>332</v>
      </c>
      <c r="E114" s="3">
        <v>7</v>
      </c>
      <c r="F114" s="3">
        <v>20</v>
      </c>
      <c r="G114" s="39">
        <v>0</v>
      </c>
      <c r="H114" s="5">
        <f t="shared" si="10"/>
        <v>27</v>
      </c>
      <c r="I114" s="3">
        <v>0</v>
      </c>
      <c r="J114" s="3">
        <v>10</v>
      </c>
      <c r="K114" s="39">
        <v>10</v>
      </c>
      <c r="L114" s="5">
        <f t="shared" si="11"/>
        <v>0</v>
      </c>
      <c r="M114" s="6"/>
      <c r="N114" s="35">
        <f t="shared" si="12"/>
        <v>27</v>
      </c>
      <c r="O114" s="3">
        <v>12</v>
      </c>
      <c r="P114" s="3"/>
      <c r="Q114" s="5">
        <f t="shared" si="9"/>
        <v>12</v>
      </c>
      <c r="R114" s="3"/>
    </row>
    <row r="115" spans="1:18" s="42" customFormat="1" ht="45">
      <c r="A115" s="2"/>
      <c r="B115" s="5" t="s">
        <v>288</v>
      </c>
      <c r="C115" s="5" t="s">
        <v>289</v>
      </c>
      <c r="D115" s="46" t="s">
        <v>339</v>
      </c>
      <c r="E115" s="3">
        <v>7</v>
      </c>
      <c r="F115" s="3">
        <v>20</v>
      </c>
      <c r="G115" s="39">
        <v>0</v>
      </c>
      <c r="H115" s="5">
        <f t="shared" si="10"/>
        <v>27</v>
      </c>
      <c r="I115" s="3"/>
      <c r="J115" s="3">
        <f>10*(7/12)</f>
        <v>5.8333333333333339</v>
      </c>
      <c r="K115" s="39"/>
      <c r="L115" s="5">
        <f t="shared" si="11"/>
        <v>5.8333333333333339</v>
      </c>
      <c r="M115" s="6"/>
      <c r="N115" s="35">
        <f t="shared" si="12"/>
        <v>32.833333333333336</v>
      </c>
      <c r="O115" s="3"/>
      <c r="P115" s="3"/>
      <c r="Q115" s="5"/>
      <c r="R115" s="3"/>
    </row>
    <row r="116" spans="1:18" ht="25.5">
      <c r="A116" s="2">
        <v>115</v>
      </c>
      <c r="B116" s="5" t="s">
        <v>271</v>
      </c>
      <c r="C116" s="5" t="s">
        <v>272</v>
      </c>
      <c r="D116" s="5" t="s">
        <v>314</v>
      </c>
      <c r="E116" s="3">
        <v>7</v>
      </c>
      <c r="F116" s="3">
        <v>20</v>
      </c>
      <c r="G116" s="39">
        <v>0</v>
      </c>
      <c r="H116" s="5">
        <f t="shared" si="10"/>
        <v>27</v>
      </c>
      <c r="I116" s="3">
        <v>0</v>
      </c>
      <c r="J116" s="3">
        <v>10</v>
      </c>
      <c r="K116" s="39">
        <v>0</v>
      </c>
      <c r="L116" s="5">
        <f t="shared" si="11"/>
        <v>10</v>
      </c>
      <c r="M116" s="6"/>
      <c r="N116" s="35">
        <f t="shared" si="12"/>
        <v>37</v>
      </c>
      <c r="O116" s="3"/>
      <c r="P116" s="3"/>
      <c r="Q116" s="5"/>
      <c r="R116" s="3"/>
    </row>
    <row r="117" spans="1:18">
      <c r="A117" s="2">
        <v>117</v>
      </c>
      <c r="B117" s="5" t="s">
        <v>183</v>
      </c>
      <c r="C117" s="5" t="s">
        <v>184</v>
      </c>
      <c r="D117" s="5" t="s">
        <v>317</v>
      </c>
      <c r="E117" s="3">
        <v>7</v>
      </c>
      <c r="F117" s="3">
        <v>20</v>
      </c>
      <c r="G117" s="39">
        <v>0</v>
      </c>
      <c r="H117" s="5">
        <f t="shared" si="10"/>
        <v>27</v>
      </c>
      <c r="I117" s="3">
        <v>0</v>
      </c>
      <c r="J117" s="3">
        <v>10</v>
      </c>
      <c r="K117" s="39">
        <v>0</v>
      </c>
      <c r="L117" s="5">
        <f t="shared" si="11"/>
        <v>10</v>
      </c>
      <c r="M117" s="6"/>
      <c r="N117" s="35">
        <f t="shared" si="12"/>
        <v>37</v>
      </c>
      <c r="O117" s="3">
        <v>12</v>
      </c>
      <c r="P117" s="3"/>
      <c r="Q117" s="5">
        <f t="shared" si="9"/>
        <v>12</v>
      </c>
      <c r="R117" s="3"/>
    </row>
    <row r="118" spans="1:18">
      <c r="A118" s="2">
        <v>118</v>
      </c>
      <c r="B118" s="5" t="s">
        <v>230</v>
      </c>
      <c r="C118" s="5" t="s">
        <v>131</v>
      </c>
      <c r="D118" s="5" t="s">
        <v>311</v>
      </c>
      <c r="E118" s="3">
        <v>7</v>
      </c>
      <c r="F118" s="3">
        <v>20</v>
      </c>
      <c r="G118" s="39">
        <v>0</v>
      </c>
      <c r="H118" s="5">
        <f t="shared" si="10"/>
        <v>27</v>
      </c>
      <c r="I118" s="3">
        <v>0</v>
      </c>
      <c r="J118" s="3">
        <v>10</v>
      </c>
      <c r="K118" s="39">
        <v>10</v>
      </c>
      <c r="L118" s="5">
        <f t="shared" si="11"/>
        <v>0</v>
      </c>
      <c r="M118" s="6"/>
      <c r="N118" s="35">
        <f t="shared" si="12"/>
        <v>27</v>
      </c>
      <c r="O118" s="3">
        <v>12</v>
      </c>
      <c r="P118" s="3"/>
      <c r="Q118" s="5">
        <f t="shared" si="9"/>
        <v>12</v>
      </c>
      <c r="R118" s="3"/>
    </row>
    <row r="119" spans="1:18" ht="26.25">
      <c r="A119" s="2">
        <v>119</v>
      </c>
      <c r="B119" s="33" t="s">
        <v>185</v>
      </c>
      <c r="C119" s="33" t="s">
        <v>186</v>
      </c>
      <c r="D119" s="33" t="s">
        <v>311</v>
      </c>
      <c r="E119" s="37"/>
      <c r="F119" s="37">
        <v>15</v>
      </c>
      <c r="G119" s="39">
        <v>0</v>
      </c>
      <c r="H119" s="33">
        <f t="shared" si="10"/>
        <v>15</v>
      </c>
      <c r="I119" s="37">
        <v>5</v>
      </c>
      <c r="J119" s="37">
        <v>10</v>
      </c>
      <c r="K119" s="32">
        <v>15</v>
      </c>
      <c r="L119" s="33">
        <f t="shared" si="11"/>
        <v>0</v>
      </c>
      <c r="M119" s="6"/>
      <c r="N119" s="38">
        <f t="shared" si="12"/>
        <v>15</v>
      </c>
      <c r="O119" s="3">
        <v>12</v>
      </c>
      <c r="P119" s="3">
        <v>2</v>
      </c>
      <c r="Q119" s="5">
        <f t="shared" si="9"/>
        <v>10</v>
      </c>
      <c r="R119" s="3" t="s">
        <v>278</v>
      </c>
    </row>
    <row r="120" spans="1:18">
      <c r="A120" s="2">
        <v>120</v>
      </c>
      <c r="B120" s="5" t="s">
        <v>208</v>
      </c>
      <c r="C120" s="5" t="s">
        <v>260</v>
      </c>
      <c r="D120" s="5" t="s">
        <v>302</v>
      </c>
      <c r="E120" s="3"/>
      <c r="F120" s="3">
        <v>15</v>
      </c>
      <c r="G120" s="39">
        <v>0</v>
      </c>
      <c r="H120" s="5">
        <f t="shared" si="10"/>
        <v>15</v>
      </c>
      <c r="I120" s="3">
        <v>0</v>
      </c>
      <c r="J120" s="3"/>
      <c r="K120" s="39">
        <v>0</v>
      </c>
      <c r="L120" s="5">
        <f t="shared" si="11"/>
        <v>0</v>
      </c>
      <c r="M120" s="6"/>
      <c r="N120" s="35">
        <f t="shared" si="12"/>
        <v>15</v>
      </c>
      <c r="O120" s="3">
        <v>12</v>
      </c>
      <c r="P120" s="3"/>
      <c r="Q120" s="5">
        <f t="shared" si="9"/>
        <v>12</v>
      </c>
      <c r="R120" s="3"/>
    </row>
    <row r="121" spans="1:18">
      <c r="A121" s="2">
        <v>121</v>
      </c>
      <c r="B121" s="5" t="s">
        <v>187</v>
      </c>
      <c r="C121" s="5" t="s">
        <v>188</v>
      </c>
      <c r="D121" s="5" t="s">
        <v>326</v>
      </c>
      <c r="E121" s="3">
        <v>15</v>
      </c>
      <c r="F121" s="3">
        <v>15</v>
      </c>
      <c r="G121" s="39">
        <v>0</v>
      </c>
      <c r="H121" s="5">
        <f t="shared" si="10"/>
        <v>30</v>
      </c>
      <c r="I121" s="3">
        <v>0</v>
      </c>
      <c r="J121" s="3"/>
      <c r="K121" s="32">
        <v>0</v>
      </c>
      <c r="L121" s="5">
        <f t="shared" si="11"/>
        <v>0</v>
      </c>
      <c r="M121" s="6"/>
      <c r="N121" s="35">
        <f t="shared" si="12"/>
        <v>30</v>
      </c>
      <c r="O121" s="3">
        <v>12</v>
      </c>
      <c r="P121" s="3"/>
      <c r="Q121" s="5">
        <f t="shared" si="9"/>
        <v>12</v>
      </c>
      <c r="R121" s="3"/>
    </row>
    <row r="122" spans="1:18">
      <c r="A122" s="2">
        <v>122</v>
      </c>
      <c r="B122" s="5" t="s">
        <v>226</v>
      </c>
      <c r="C122" s="5" t="s">
        <v>227</v>
      </c>
      <c r="D122" s="5" t="s">
        <v>296</v>
      </c>
      <c r="E122" s="3"/>
      <c r="F122" s="3">
        <v>15</v>
      </c>
      <c r="G122" s="39">
        <v>0</v>
      </c>
      <c r="H122" s="5">
        <f t="shared" si="10"/>
        <v>15</v>
      </c>
      <c r="I122" s="3">
        <v>0</v>
      </c>
      <c r="J122" s="3">
        <v>10</v>
      </c>
      <c r="K122" s="39">
        <v>10</v>
      </c>
      <c r="L122" s="5">
        <f t="shared" si="11"/>
        <v>0</v>
      </c>
      <c r="M122" s="6"/>
      <c r="N122" s="35">
        <f t="shared" si="12"/>
        <v>15</v>
      </c>
      <c r="O122" s="3">
        <v>12</v>
      </c>
      <c r="P122" s="3"/>
      <c r="Q122" s="5">
        <f t="shared" si="9"/>
        <v>12</v>
      </c>
      <c r="R122" s="3"/>
    </row>
    <row r="123" spans="1:18" ht="25.5">
      <c r="A123" s="2">
        <v>123</v>
      </c>
      <c r="B123" s="5" t="s">
        <v>226</v>
      </c>
      <c r="C123" s="5" t="s">
        <v>228</v>
      </c>
      <c r="D123" s="5" t="s">
        <v>296</v>
      </c>
      <c r="E123" s="3"/>
      <c r="F123" s="3">
        <v>15</v>
      </c>
      <c r="G123" s="39">
        <v>0</v>
      </c>
      <c r="H123" s="5">
        <f t="shared" si="10"/>
        <v>15</v>
      </c>
      <c r="I123" s="3">
        <v>0</v>
      </c>
      <c r="J123" s="3">
        <v>10</v>
      </c>
      <c r="K123" s="39">
        <v>10</v>
      </c>
      <c r="L123" s="5">
        <f t="shared" si="11"/>
        <v>0</v>
      </c>
      <c r="M123" s="6"/>
      <c r="N123" s="35">
        <f t="shared" si="12"/>
        <v>15</v>
      </c>
      <c r="O123" s="3">
        <v>12</v>
      </c>
      <c r="P123" s="3"/>
      <c r="Q123" s="5">
        <f t="shared" si="9"/>
        <v>12</v>
      </c>
      <c r="R123" s="3"/>
    </row>
    <row r="124" spans="1:18" ht="45">
      <c r="A124" s="2">
        <v>124</v>
      </c>
      <c r="B124" s="5" t="s">
        <v>264</v>
      </c>
      <c r="C124" s="5" t="s">
        <v>265</v>
      </c>
      <c r="D124" s="46" t="s">
        <v>340</v>
      </c>
      <c r="E124" s="3"/>
      <c r="F124" s="3">
        <v>15</v>
      </c>
      <c r="G124" s="39">
        <v>0</v>
      </c>
      <c r="H124" s="5">
        <f t="shared" si="10"/>
        <v>15</v>
      </c>
      <c r="I124" s="3">
        <v>0</v>
      </c>
      <c r="J124" s="3">
        <v>0</v>
      </c>
      <c r="K124" s="39"/>
      <c r="L124" s="5">
        <f t="shared" si="11"/>
        <v>0</v>
      </c>
      <c r="M124" s="6"/>
      <c r="N124" s="35">
        <f t="shared" si="12"/>
        <v>15</v>
      </c>
      <c r="O124" s="3">
        <v>12</v>
      </c>
      <c r="P124" s="3">
        <v>13</v>
      </c>
      <c r="Q124" s="5">
        <f t="shared" si="9"/>
        <v>-1</v>
      </c>
      <c r="R124" s="3" t="s">
        <v>266</v>
      </c>
    </row>
    <row r="125" spans="1:18">
      <c r="A125" s="2">
        <v>125</v>
      </c>
      <c r="B125" s="5" t="s">
        <v>239</v>
      </c>
      <c r="C125" s="5" t="s">
        <v>240</v>
      </c>
      <c r="D125" s="5" t="s">
        <v>341</v>
      </c>
      <c r="E125" s="3"/>
      <c r="F125" s="3">
        <v>15</v>
      </c>
      <c r="G125" s="39">
        <v>0</v>
      </c>
      <c r="H125" s="5">
        <f t="shared" si="10"/>
        <v>15</v>
      </c>
      <c r="I125" s="3">
        <v>0</v>
      </c>
      <c r="J125" s="3"/>
      <c r="K125" s="32">
        <v>0</v>
      </c>
      <c r="L125" s="5">
        <f t="shared" si="11"/>
        <v>0</v>
      </c>
      <c r="M125" s="6"/>
      <c r="N125" s="35">
        <f t="shared" si="12"/>
        <v>15</v>
      </c>
      <c r="O125" s="3">
        <v>12</v>
      </c>
      <c r="P125" s="3"/>
      <c r="Q125" s="5">
        <f t="shared" si="9"/>
        <v>12</v>
      </c>
      <c r="R125" s="3"/>
    </row>
    <row r="126" spans="1:18">
      <c r="A126" s="2">
        <v>126</v>
      </c>
      <c r="B126" s="5" t="s">
        <v>237</v>
      </c>
      <c r="C126" s="5" t="s">
        <v>238</v>
      </c>
      <c r="D126" s="5" t="s">
        <v>341</v>
      </c>
      <c r="E126" s="3"/>
      <c r="F126" s="3">
        <v>15</v>
      </c>
      <c r="G126" s="39">
        <v>0</v>
      </c>
      <c r="H126" s="5">
        <f t="shared" si="10"/>
        <v>15</v>
      </c>
      <c r="I126" s="3">
        <v>0</v>
      </c>
      <c r="J126" s="3"/>
      <c r="K126" s="32">
        <v>0</v>
      </c>
      <c r="L126" s="5">
        <f t="shared" si="11"/>
        <v>0</v>
      </c>
      <c r="M126" s="6"/>
      <c r="N126" s="35">
        <f t="shared" si="12"/>
        <v>15</v>
      </c>
      <c r="O126" s="3">
        <v>12</v>
      </c>
      <c r="P126" s="3"/>
      <c r="Q126" s="5">
        <f t="shared" si="9"/>
        <v>12</v>
      </c>
      <c r="R126" s="3"/>
    </row>
    <row r="127" spans="1:18" ht="25.5">
      <c r="A127" s="2">
        <v>127</v>
      </c>
      <c r="B127" s="5" t="s">
        <v>189</v>
      </c>
      <c r="C127" s="5" t="s">
        <v>190</v>
      </c>
      <c r="D127" s="5" t="s">
        <v>315</v>
      </c>
      <c r="E127" s="3"/>
      <c r="F127" s="3">
        <v>20</v>
      </c>
      <c r="G127" s="39">
        <v>0</v>
      </c>
      <c r="H127" s="5">
        <f t="shared" si="10"/>
        <v>20</v>
      </c>
      <c r="I127" s="3">
        <v>5</v>
      </c>
      <c r="J127" s="3">
        <v>10</v>
      </c>
      <c r="K127" s="39">
        <v>15</v>
      </c>
      <c r="L127" s="5">
        <f t="shared" si="11"/>
        <v>0</v>
      </c>
      <c r="M127" s="6"/>
      <c r="N127" s="35">
        <f t="shared" si="12"/>
        <v>20</v>
      </c>
      <c r="O127" s="3">
        <v>12</v>
      </c>
      <c r="P127" s="3"/>
      <c r="Q127" s="5">
        <f t="shared" si="9"/>
        <v>12</v>
      </c>
      <c r="R127" s="3"/>
    </row>
    <row r="128" spans="1:18">
      <c r="A128" s="2">
        <v>128</v>
      </c>
      <c r="B128" s="5" t="s">
        <v>191</v>
      </c>
      <c r="C128" s="5" t="s">
        <v>192</v>
      </c>
      <c r="D128" s="5" t="s">
        <v>314</v>
      </c>
      <c r="E128" s="3"/>
      <c r="F128" s="3">
        <v>20</v>
      </c>
      <c r="G128" s="39">
        <v>0</v>
      </c>
      <c r="H128" s="5">
        <f t="shared" si="10"/>
        <v>20</v>
      </c>
      <c r="I128" s="3">
        <v>0</v>
      </c>
      <c r="J128" s="3">
        <v>10</v>
      </c>
      <c r="K128" s="39">
        <v>0</v>
      </c>
      <c r="L128" s="5">
        <f t="shared" si="11"/>
        <v>10</v>
      </c>
      <c r="M128" s="6"/>
      <c r="N128" s="35">
        <f t="shared" si="12"/>
        <v>30</v>
      </c>
      <c r="O128" s="3">
        <v>12</v>
      </c>
      <c r="P128" s="3"/>
      <c r="Q128" s="5">
        <f t="shared" si="9"/>
        <v>12</v>
      </c>
      <c r="R128" s="3"/>
    </row>
    <row r="129" spans="1:18" ht="25.5">
      <c r="A129" s="2">
        <v>129</v>
      </c>
      <c r="B129" s="5" t="s">
        <v>193</v>
      </c>
      <c r="C129" s="5" t="s">
        <v>194</v>
      </c>
      <c r="D129" s="5" t="s">
        <v>336</v>
      </c>
      <c r="E129" s="3">
        <v>9</v>
      </c>
      <c r="F129" s="3">
        <v>15</v>
      </c>
      <c r="G129" s="39">
        <v>0</v>
      </c>
      <c r="H129" s="5">
        <f t="shared" si="10"/>
        <v>24</v>
      </c>
      <c r="I129" s="3">
        <v>1</v>
      </c>
      <c r="J129" s="3">
        <v>1</v>
      </c>
      <c r="K129" s="32">
        <v>0</v>
      </c>
      <c r="L129" s="5">
        <f t="shared" si="11"/>
        <v>2</v>
      </c>
      <c r="M129" s="6"/>
      <c r="N129" s="35">
        <f t="shared" si="12"/>
        <v>26</v>
      </c>
      <c r="O129" s="3">
        <v>12</v>
      </c>
      <c r="P129" s="3"/>
      <c r="Q129" s="5">
        <f t="shared" si="9"/>
        <v>12</v>
      </c>
      <c r="R129" s="3"/>
    </row>
    <row r="130" spans="1:18" ht="38.25">
      <c r="A130" s="2">
        <v>130</v>
      </c>
      <c r="B130" s="5" t="s">
        <v>195</v>
      </c>
      <c r="C130" s="5" t="s">
        <v>196</v>
      </c>
      <c r="D130" s="5" t="s">
        <v>342</v>
      </c>
      <c r="E130" s="3"/>
      <c r="F130" s="3">
        <v>20</v>
      </c>
      <c r="G130" s="39">
        <v>0</v>
      </c>
      <c r="H130" s="5">
        <f t="shared" si="10"/>
        <v>20</v>
      </c>
      <c r="I130" s="3">
        <v>1</v>
      </c>
      <c r="J130" s="3"/>
      <c r="K130" s="32">
        <v>0</v>
      </c>
      <c r="L130" s="5">
        <f t="shared" si="11"/>
        <v>1</v>
      </c>
      <c r="M130" s="6"/>
      <c r="N130" s="35">
        <f t="shared" si="12"/>
        <v>21</v>
      </c>
      <c r="O130" s="3">
        <v>12</v>
      </c>
      <c r="P130" s="3"/>
      <c r="Q130" s="5">
        <f t="shared" si="9"/>
        <v>12</v>
      </c>
      <c r="R130" s="3"/>
    </row>
    <row r="131" spans="1:18">
      <c r="A131" s="2">
        <v>131</v>
      </c>
      <c r="B131" s="5" t="s">
        <v>291</v>
      </c>
      <c r="C131" s="5" t="s">
        <v>248</v>
      </c>
      <c r="D131" s="5" t="s">
        <v>295</v>
      </c>
      <c r="E131" s="3">
        <v>0</v>
      </c>
      <c r="F131" s="3">
        <v>15</v>
      </c>
      <c r="G131" s="39">
        <v>0</v>
      </c>
      <c r="H131" s="5">
        <f t="shared" si="10"/>
        <v>15</v>
      </c>
      <c r="I131" s="3">
        <v>0</v>
      </c>
      <c r="J131" s="3">
        <v>0</v>
      </c>
      <c r="K131" s="39">
        <v>0</v>
      </c>
      <c r="L131" s="5">
        <f t="shared" si="11"/>
        <v>0</v>
      </c>
      <c r="M131" s="6"/>
      <c r="N131" s="35">
        <f t="shared" si="12"/>
        <v>15</v>
      </c>
      <c r="O131" s="3">
        <v>12</v>
      </c>
      <c r="P131" s="3">
        <v>0</v>
      </c>
      <c r="Q131" s="5">
        <f t="shared" si="9"/>
        <v>12</v>
      </c>
      <c r="R131" s="3"/>
    </row>
    <row r="132" spans="1:18">
      <c r="A132" s="2">
        <v>132</v>
      </c>
      <c r="B132" s="5" t="s">
        <v>197</v>
      </c>
      <c r="C132" s="5" t="s">
        <v>198</v>
      </c>
      <c r="D132" s="5" t="s">
        <v>333</v>
      </c>
      <c r="E132" s="3"/>
      <c r="F132" s="3">
        <v>15</v>
      </c>
      <c r="G132" s="39">
        <v>0</v>
      </c>
      <c r="H132" s="5">
        <f t="shared" si="10"/>
        <v>15</v>
      </c>
      <c r="I132" s="3">
        <v>0</v>
      </c>
      <c r="J132" s="3"/>
      <c r="K132" s="32">
        <v>0</v>
      </c>
      <c r="L132" s="5">
        <f t="shared" si="11"/>
        <v>0</v>
      </c>
      <c r="M132" s="6"/>
      <c r="N132" s="35">
        <f t="shared" si="12"/>
        <v>15</v>
      </c>
      <c r="O132" s="3">
        <v>12</v>
      </c>
      <c r="P132" s="3"/>
      <c r="Q132" s="5">
        <f t="shared" si="9"/>
        <v>12</v>
      </c>
      <c r="R132" s="3"/>
    </row>
    <row r="133" spans="1:18">
      <c r="A133" s="2">
        <v>133</v>
      </c>
      <c r="B133" s="5" t="s">
        <v>229</v>
      </c>
      <c r="C133" s="5" t="s">
        <v>63</v>
      </c>
      <c r="D133" s="5" t="s">
        <v>311</v>
      </c>
      <c r="E133" s="3"/>
      <c r="F133" s="3">
        <v>15</v>
      </c>
      <c r="G133" s="39">
        <v>0</v>
      </c>
      <c r="H133" s="5">
        <f t="shared" si="10"/>
        <v>15</v>
      </c>
      <c r="I133" s="3"/>
      <c r="J133" s="3"/>
      <c r="K133" s="32"/>
      <c r="L133" s="5">
        <f t="shared" si="11"/>
        <v>0</v>
      </c>
      <c r="M133" s="6"/>
      <c r="N133" s="35">
        <f t="shared" si="12"/>
        <v>15</v>
      </c>
      <c r="O133" s="3">
        <v>12</v>
      </c>
      <c r="P133" s="3"/>
      <c r="Q133" s="5">
        <f t="shared" si="9"/>
        <v>12</v>
      </c>
      <c r="R133" s="3"/>
    </row>
    <row r="134" spans="1:18" ht="25.5">
      <c r="A134" s="2">
        <v>134</v>
      </c>
      <c r="B134" s="5" t="s">
        <v>199</v>
      </c>
      <c r="C134" s="5" t="s">
        <v>200</v>
      </c>
      <c r="D134" s="5" t="s">
        <v>343</v>
      </c>
      <c r="E134" s="3"/>
      <c r="F134" s="3">
        <v>20</v>
      </c>
      <c r="G134" s="39">
        <v>0</v>
      </c>
      <c r="H134" s="5">
        <f t="shared" si="10"/>
        <v>20</v>
      </c>
      <c r="I134" s="3"/>
      <c r="J134" s="3"/>
      <c r="K134" s="32"/>
      <c r="L134" s="5">
        <f t="shared" si="11"/>
        <v>0</v>
      </c>
      <c r="M134" s="6"/>
      <c r="N134" s="35">
        <f t="shared" si="12"/>
        <v>20</v>
      </c>
      <c r="O134" s="3">
        <v>12</v>
      </c>
      <c r="P134" s="3"/>
      <c r="Q134" s="5">
        <f t="shared" si="9"/>
        <v>12</v>
      </c>
      <c r="R134" s="3"/>
    </row>
    <row r="135" spans="1:18" ht="30">
      <c r="A135" s="2">
        <v>135</v>
      </c>
      <c r="B135" s="5" t="s">
        <v>241</v>
      </c>
      <c r="C135" s="5" t="s">
        <v>209</v>
      </c>
      <c r="D135" s="47" t="s">
        <v>344</v>
      </c>
      <c r="E135" s="3"/>
      <c r="F135" s="3">
        <v>20</v>
      </c>
      <c r="G135" s="39">
        <v>0</v>
      </c>
      <c r="H135" s="5">
        <f t="shared" si="10"/>
        <v>20</v>
      </c>
      <c r="I135" s="3"/>
      <c r="J135" s="3"/>
      <c r="K135" s="32"/>
      <c r="L135" s="5">
        <f t="shared" si="11"/>
        <v>0</v>
      </c>
      <c r="M135" s="6"/>
      <c r="N135" s="35">
        <f t="shared" si="12"/>
        <v>20</v>
      </c>
      <c r="O135" s="3">
        <v>12</v>
      </c>
      <c r="P135" s="3"/>
      <c r="Q135" s="5">
        <f t="shared" si="9"/>
        <v>12</v>
      </c>
      <c r="R135" s="3"/>
    </row>
    <row r="136" spans="1:18">
      <c r="A136" s="2">
        <v>136</v>
      </c>
      <c r="B136" s="5" t="s">
        <v>201</v>
      </c>
      <c r="C136" s="5" t="s">
        <v>279</v>
      </c>
      <c r="D136" s="5" t="s">
        <v>345</v>
      </c>
      <c r="E136" s="3"/>
      <c r="F136" s="3">
        <v>20</v>
      </c>
      <c r="G136" s="39">
        <v>0</v>
      </c>
      <c r="H136" s="5">
        <f t="shared" si="10"/>
        <v>20</v>
      </c>
      <c r="I136" s="3"/>
      <c r="J136" s="3"/>
      <c r="K136" s="32"/>
      <c r="L136" s="5">
        <f t="shared" si="11"/>
        <v>0</v>
      </c>
      <c r="M136" s="6"/>
      <c r="N136" s="35">
        <f t="shared" si="12"/>
        <v>20</v>
      </c>
      <c r="O136" s="3">
        <v>12</v>
      </c>
      <c r="P136" s="3"/>
      <c r="Q136" s="5">
        <f t="shared" si="9"/>
        <v>12</v>
      </c>
      <c r="R136" s="3"/>
    </row>
    <row r="137" spans="1:18">
      <c r="A137" s="2">
        <v>137</v>
      </c>
      <c r="B137" s="5" t="s">
        <v>220</v>
      </c>
      <c r="C137" s="5" t="s">
        <v>221</v>
      </c>
      <c r="D137" s="5" t="s">
        <v>346</v>
      </c>
      <c r="E137" s="3"/>
      <c r="F137" s="3">
        <v>15</v>
      </c>
      <c r="G137" s="39">
        <v>0</v>
      </c>
      <c r="H137" s="5">
        <f t="shared" si="10"/>
        <v>15</v>
      </c>
      <c r="I137" s="3"/>
      <c r="J137" s="3"/>
      <c r="K137" s="32"/>
      <c r="L137" s="5">
        <f t="shared" si="11"/>
        <v>0</v>
      </c>
      <c r="M137" s="6"/>
      <c r="N137" s="35">
        <f t="shared" si="12"/>
        <v>15</v>
      </c>
      <c r="O137" s="3">
        <v>12</v>
      </c>
      <c r="P137" s="3"/>
      <c r="Q137" s="5">
        <f t="shared" si="9"/>
        <v>12</v>
      </c>
      <c r="R137" s="3"/>
    </row>
    <row r="138" spans="1:18" ht="38.25">
      <c r="A138" s="2">
        <v>138</v>
      </c>
      <c r="B138" s="5" t="s">
        <v>202</v>
      </c>
      <c r="C138" s="5" t="s">
        <v>203</v>
      </c>
      <c r="D138" s="5" t="s">
        <v>338</v>
      </c>
      <c r="E138" s="3"/>
      <c r="F138" s="3">
        <v>20</v>
      </c>
      <c r="G138" s="39">
        <v>0</v>
      </c>
      <c r="H138" s="5">
        <f t="shared" si="10"/>
        <v>20</v>
      </c>
      <c r="I138" s="3"/>
      <c r="J138" s="3"/>
      <c r="K138" s="32"/>
      <c r="L138" s="5">
        <f t="shared" si="11"/>
        <v>0</v>
      </c>
      <c r="M138" s="6"/>
      <c r="N138" s="35">
        <f t="shared" si="12"/>
        <v>20</v>
      </c>
      <c r="O138" s="3">
        <v>12</v>
      </c>
      <c r="P138" s="3"/>
      <c r="Q138" s="5">
        <f t="shared" si="9"/>
        <v>12</v>
      </c>
      <c r="R138" s="3"/>
    </row>
    <row r="139" spans="1:18">
      <c r="A139" s="2">
        <v>139</v>
      </c>
      <c r="B139" s="5" t="s">
        <v>275</v>
      </c>
      <c r="C139" s="5" t="s">
        <v>276</v>
      </c>
      <c r="D139" s="5" t="s">
        <v>311</v>
      </c>
      <c r="E139" s="3"/>
      <c r="F139" s="3">
        <v>15</v>
      </c>
      <c r="G139" s="39">
        <v>0</v>
      </c>
      <c r="H139" s="5">
        <f t="shared" si="10"/>
        <v>15</v>
      </c>
      <c r="I139" s="3"/>
      <c r="J139" s="3"/>
      <c r="K139" s="32"/>
      <c r="L139" s="5">
        <f t="shared" si="11"/>
        <v>0</v>
      </c>
      <c r="M139" s="6"/>
      <c r="N139" s="35">
        <f t="shared" si="12"/>
        <v>15</v>
      </c>
      <c r="O139" s="3"/>
      <c r="P139" s="3"/>
      <c r="Q139" s="5">
        <f t="shared" si="9"/>
        <v>0</v>
      </c>
      <c r="R139" s="3" t="s">
        <v>277</v>
      </c>
    </row>
    <row r="140" spans="1:18" ht="25.5">
      <c r="A140" s="2">
        <v>140</v>
      </c>
      <c r="B140" s="5" t="s">
        <v>156</v>
      </c>
      <c r="C140" s="5" t="s">
        <v>204</v>
      </c>
      <c r="D140" s="5" t="s">
        <v>347</v>
      </c>
      <c r="E140" s="3"/>
      <c r="F140" s="3">
        <v>20</v>
      </c>
      <c r="G140" s="39">
        <v>0</v>
      </c>
      <c r="H140" s="5">
        <f t="shared" si="10"/>
        <v>20</v>
      </c>
      <c r="I140" s="3"/>
      <c r="J140" s="3"/>
      <c r="K140" s="32"/>
      <c r="L140" s="5">
        <f t="shared" si="11"/>
        <v>0</v>
      </c>
      <c r="M140" s="6"/>
      <c r="N140" s="35">
        <f t="shared" si="12"/>
        <v>20</v>
      </c>
      <c r="O140" s="3">
        <v>12</v>
      </c>
      <c r="P140" s="3"/>
      <c r="Q140" s="5">
        <f t="shared" si="9"/>
        <v>12</v>
      </c>
      <c r="R140" s="3"/>
    </row>
    <row r="141" spans="1:18">
      <c r="A141" s="2">
        <v>139</v>
      </c>
      <c r="B141" s="5" t="s">
        <v>280</v>
      </c>
      <c r="C141" s="5" t="s">
        <v>281</v>
      </c>
      <c r="D141" s="5" t="s">
        <v>295</v>
      </c>
      <c r="E141" s="3"/>
      <c r="F141" s="3">
        <v>15</v>
      </c>
      <c r="G141" s="39">
        <v>0</v>
      </c>
      <c r="H141" s="5">
        <f t="shared" si="10"/>
        <v>15</v>
      </c>
      <c r="I141" s="3"/>
      <c r="J141" s="3"/>
      <c r="K141" s="32"/>
      <c r="L141" s="5">
        <f t="shared" si="11"/>
        <v>0</v>
      </c>
      <c r="M141" s="6"/>
      <c r="N141" s="35">
        <f t="shared" si="12"/>
        <v>15</v>
      </c>
      <c r="O141" s="3"/>
      <c r="P141" s="3"/>
      <c r="Q141" s="5">
        <f t="shared" si="9"/>
        <v>0</v>
      </c>
      <c r="R141" s="3" t="s">
        <v>277</v>
      </c>
    </row>
    <row r="142" spans="1:18">
      <c r="A142" s="2">
        <v>141</v>
      </c>
      <c r="B142" s="5" t="s">
        <v>273</v>
      </c>
      <c r="C142" s="5" t="s">
        <v>274</v>
      </c>
      <c r="D142" s="5" t="s">
        <v>314</v>
      </c>
      <c r="E142" s="3"/>
      <c r="F142" s="3">
        <v>2</v>
      </c>
      <c r="G142" s="39">
        <v>0</v>
      </c>
      <c r="H142" s="5">
        <f t="shared" si="10"/>
        <v>2</v>
      </c>
      <c r="I142" s="3"/>
      <c r="J142" s="3"/>
      <c r="K142" s="32"/>
      <c r="L142" s="5">
        <f t="shared" si="11"/>
        <v>0</v>
      </c>
      <c r="M142" s="6"/>
      <c r="N142" s="35">
        <f t="shared" si="12"/>
        <v>2</v>
      </c>
      <c r="O142" s="3"/>
      <c r="P142" s="3"/>
      <c r="Q142" s="5"/>
      <c r="R142" s="3"/>
    </row>
    <row r="143" spans="1:18">
      <c r="A143" s="2">
        <v>142</v>
      </c>
      <c r="B143" s="5" t="s">
        <v>169</v>
      </c>
      <c r="C143" s="5" t="s">
        <v>205</v>
      </c>
      <c r="D143" s="5" t="s">
        <v>311</v>
      </c>
      <c r="E143" s="3"/>
      <c r="F143" s="3">
        <v>15</v>
      </c>
      <c r="G143" s="39">
        <v>0</v>
      </c>
      <c r="H143" s="5">
        <f t="shared" si="10"/>
        <v>15</v>
      </c>
      <c r="I143" s="3"/>
      <c r="J143" s="3"/>
      <c r="K143" s="32"/>
      <c r="L143" s="5">
        <f t="shared" si="11"/>
        <v>0</v>
      </c>
      <c r="M143" s="6"/>
      <c r="N143" s="35">
        <f t="shared" si="12"/>
        <v>15</v>
      </c>
      <c r="O143" s="3">
        <v>12</v>
      </c>
      <c r="P143" s="3"/>
      <c r="Q143" s="5">
        <f t="shared" si="9"/>
        <v>12</v>
      </c>
      <c r="R143" s="3"/>
    </row>
    <row r="144" spans="1:18">
      <c r="A144" s="2"/>
      <c r="B144" s="5" t="s">
        <v>169</v>
      </c>
      <c r="C144" s="5" t="s">
        <v>292</v>
      </c>
      <c r="D144" s="5" t="s">
        <v>318</v>
      </c>
      <c r="E144" s="3">
        <f>15*(5/12)</f>
        <v>6.25</v>
      </c>
      <c r="F144" s="3">
        <v>15</v>
      </c>
      <c r="G144" s="39">
        <v>0</v>
      </c>
      <c r="H144" s="5">
        <f t="shared" si="10"/>
        <v>21.25</v>
      </c>
      <c r="I144" s="3"/>
      <c r="J144" s="3"/>
      <c r="K144" s="32"/>
      <c r="L144" s="5">
        <f t="shared" si="11"/>
        <v>0</v>
      </c>
      <c r="M144" s="6"/>
      <c r="N144" s="35">
        <f t="shared" si="12"/>
        <v>21.25</v>
      </c>
      <c r="O144" s="3"/>
      <c r="P144" s="3"/>
      <c r="Q144" s="5"/>
      <c r="R144" s="3"/>
    </row>
    <row r="145" spans="1:18">
      <c r="A145" s="2">
        <v>143</v>
      </c>
      <c r="B145" s="5" t="s">
        <v>231</v>
      </c>
      <c r="C145" s="5" t="s">
        <v>232</v>
      </c>
      <c r="D145" s="5" t="s">
        <v>311</v>
      </c>
      <c r="E145" s="3"/>
      <c r="F145" s="3"/>
      <c r="G145" s="39">
        <v>0</v>
      </c>
      <c r="H145" s="5">
        <f t="shared" si="10"/>
        <v>0</v>
      </c>
      <c r="I145" s="3"/>
      <c r="J145" s="3"/>
      <c r="K145" s="32"/>
      <c r="L145" s="5">
        <f t="shared" si="11"/>
        <v>0</v>
      </c>
      <c r="M145" s="6"/>
      <c r="N145" s="35">
        <f t="shared" si="12"/>
        <v>0</v>
      </c>
      <c r="O145" s="3">
        <v>12</v>
      </c>
      <c r="P145" s="3"/>
      <c r="Q145" s="5">
        <f t="shared" si="9"/>
        <v>12</v>
      </c>
      <c r="R145" s="3"/>
    </row>
    <row r="146" spans="1:18">
      <c r="A146" s="30"/>
      <c r="B146" s="30"/>
      <c r="C146" s="30"/>
      <c r="D146" s="30"/>
      <c r="E146" s="30"/>
      <c r="F146" s="30"/>
      <c r="G146" s="30"/>
      <c r="H146" s="23"/>
      <c r="I146" s="30"/>
      <c r="J146" s="30"/>
      <c r="K146" s="30"/>
      <c r="L146" s="23"/>
      <c r="M146" s="6"/>
      <c r="N146" s="22"/>
      <c r="O146" s="30"/>
      <c r="P146" s="30"/>
      <c r="Q146" s="22"/>
      <c r="R146" s="30"/>
    </row>
    <row r="147" spans="1:18">
      <c r="A147" s="30"/>
      <c r="B147" s="30"/>
      <c r="C147" s="30"/>
      <c r="D147" s="30"/>
      <c r="E147" s="30"/>
      <c r="F147" s="30"/>
      <c r="G147" s="30"/>
      <c r="H147" s="23"/>
      <c r="I147" s="30"/>
      <c r="J147" s="30"/>
      <c r="K147" s="30"/>
      <c r="L147" s="23"/>
      <c r="M147" s="6"/>
      <c r="N147" s="22"/>
      <c r="O147" s="30"/>
      <c r="P147" s="30"/>
      <c r="Q147" s="22"/>
      <c r="R147" s="30"/>
    </row>
    <row r="148" spans="1:18">
      <c r="A148" s="7"/>
      <c r="B148" s="7"/>
      <c r="C148" s="22"/>
      <c r="D148" s="22"/>
      <c r="E148" s="34">
        <f>SUM(E2:E147)</f>
        <v>142.25</v>
      </c>
      <c r="F148" s="22">
        <f>SUM(F2:F147)</f>
        <v>2425.166666666667</v>
      </c>
      <c r="G148" s="22"/>
      <c r="H148" s="23">
        <f>E148+F148-G148</f>
        <v>2567.416666666667</v>
      </c>
      <c r="I148" s="22">
        <v>242.5</v>
      </c>
      <c r="J148" s="22"/>
      <c r="K148" s="22"/>
      <c r="L148" s="23">
        <f>I148+J148-K148</f>
        <v>242.5</v>
      </c>
      <c r="M148" s="6"/>
      <c r="N148" s="22">
        <v>940.62833333333299</v>
      </c>
      <c r="O148" s="34">
        <f>SUM(O2:O147)</f>
        <v>1595</v>
      </c>
      <c r="P148" s="22"/>
      <c r="Q148" s="34">
        <f>SUM(Q2:Q147)</f>
        <v>1307</v>
      </c>
      <c r="R148" s="22"/>
    </row>
    <row r="149" spans="1:18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</sheetData>
  <mergeCells count="1">
    <mergeCell ref="B1:C1"/>
  </mergeCells>
  <pageMargins left="0.7" right="0.7" top="0.75" bottom="0.75" header="0.3" footer="0.3"/>
  <pageSetup orientation="portrait" r:id="rId1"/>
  <ignoredErrors>
    <ignoredError sqref="H4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FY2026 - 2027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Euphemia Afful</dc:creator>
  <cp:lastModifiedBy>Christopher Odei</cp:lastModifiedBy>
  <cp:lastPrinted>2023-02-04T14:59:00Z</cp:lastPrinted>
  <dcterms:created xsi:type="dcterms:W3CDTF">2019-11-26T20:15:00Z</dcterms:created>
  <dcterms:modified xsi:type="dcterms:W3CDTF">2026-06-02T19:30:25Z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1B0D90E0D6734B6CA15747CFBE402176_12</vt:lpwstr>
  </property>
  <property fmtid="{D5CDD505-2E9C-101B-9397-08002B2CF9AE}" pid="3" name="KSOProductBuildVer">
    <vt:lpwstr>1033-12.2.0.21179</vt:lpwstr>
  </property>
</Properties>
</file>